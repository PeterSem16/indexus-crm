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alcom/Downloads/"/>
    </mc:Choice>
  </mc:AlternateContent>
  <xr:revisionPtr revIDLastSave="0" documentId="8_{861F8505-6C61-9F40-9533-9FCCA627A81F}" xr6:coauthVersionLast="47" xr6:coauthVersionMax="47" xr10:uidLastSave="{00000000-0000-0000-0000-000000000000}"/>
  <bookViews>
    <workbookView xWindow="0" yWindow="660" windowWidth="29400" windowHeight="17320" xr2:uid="{2120F03E-ED86-47E5-80CE-686AFF355392}"/>
  </bookViews>
  <sheets>
    <sheet name="COLLECTION PRICE" sheetId="10" r:id="rId1"/>
    <sheet name="STORAGE PRICE" sheetId="9" r:id="rId2"/>
    <sheet name="SK" sheetId="3" r:id="rId3"/>
    <sheet name="CZ" sheetId="4" r:id="rId4"/>
    <sheet name="RO" sheetId="6" r:id="rId5"/>
    <sheet name="HU" sheetId="5" r:id="rId6"/>
    <sheet name="AT" sheetId="7" r:id="rId7"/>
    <sheet name="ITA" sheetId="8" r:id="rId8"/>
    <sheet name="cost" sheetId="11" state="hidden" r:id="rId9"/>
    <sheet name="Sheet1" sheetId="1" state="hidden" r:id="rId10"/>
  </sheets>
  <definedNames>
    <definedName name="_xlnm._FilterDatabase" localSheetId="2" hidden="1">SK!$A$13:$P$43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5" l="1"/>
  <c r="H26" i="5"/>
  <c r="H25" i="5"/>
  <c r="H24" i="5"/>
  <c r="H23" i="5"/>
  <c r="H22" i="5"/>
  <c r="H20" i="5"/>
  <c r="H19" i="5"/>
  <c r="H17" i="5"/>
  <c r="H16" i="5"/>
  <c r="C4" i="3"/>
  <c r="E4" i="3"/>
  <c r="M42" i="5" l="1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C4" i="6"/>
  <c r="E4" i="6"/>
  <c r="H13" i="4" l="1"/>
  <c r="M13" i="4" s="1"/>
  <c r="I46" i="9" l="1"/>
  <c r="I45" i="9"/>
  <c r="I44" i="9"/>
  <c r="I40" i="9"/>
  <c r="I39" i="9"/>
  <c r="I38" i="9"/>
  <c r="H29" i="9"/>
  <c r="H28" i="9"/>
  <c r="H27" i="9"/>
  <c r="H32" i="9"/>
  <c r="H31" i="9"/>
  <c r="H30" i="9"/>
  <c r="AM20" i="11" l="1"/>
  <c r="AL20" i="11"/>
  <c r="AM19" i="11"/>
  <c r="AL19" i="11"/>
  <c r="AM18" i="11"/>
  <c r="AL18" i="11"/>
  <c r="AN21" i="11"/>
  <c r="AM17" i="11"/>
  <c r="AL17" i="11"/>
  <c r="AM14" i="11"/>
  <c r="AL14" i="11"/>
  <c r="AM13" i="11"/>
  <c r="AL13" i="11"/>
  <c r="AN15" i="11"/>
  <c r="AM12" i="11"/>
  <c r="AL12" i="11"/>
  <c r="AN7" i="11"/>
  <c r="AD20" i="11"/>
  <c r="AC20" i="11"/>
  <c r="AB20" i="11"/>
  <c r="AC19" i="11"/>
  <c r="AB19" i="11"/>
  <c r="AD18" i="11"/>
  <c r="AC18" i="11"/>
  <c r="AB18" i="11"/>
  <c r="AD14" i="11"/>
  <c r="AC14" i="11"/>
  <c r="AB14" i="11"/>
  <c r="AD13" i="11"/>
  <c r="AC13" i="11"/>
  <c r="AB13" i="11"/>
  <c r="AD12" i="11"/>
  <c r="AC12" i="11"/>
  <c r="AB12" i="11"/>
  <c r="T20" i="11"/>
  <c r="S20" i="11"/>
  <c r="R20" i="11"/>
  <c r="T19" i="11"/>
  <c r="S19" i="11"/>
  <c r="R19" i="11"/>
  <c r="T18" i="11"/>
  <c r="S18" i="11"/>
  <c r="R18" i="11"/>
  <c r="T17" i="11"/>
  <c r="S17" i="11"/>
  <c r="R17" i="11"/>
  <c r="T14" i="11"/>
  <c r="S14" i="11"/>
  <c r="R14" i="11"/>
  <c r="T13" i="11"/>
  <c r="S13" i="11"/>
  <c r="R13" i="11"/>
  <c r="T12" i="11"/>
  <c r="S12" i="11"/>
  <c r="R12" i="11"/>
  <c r="J20" i="11"/>
  <c r="I20" i="11"/>
  <c r="H20" i="11"/>
  <c r="J19" i="11"/>
  <c r="I19" i="11"/>
  <c r="H19" i="11"/>
  <c r="J18" i="11"/>
  <c r="I18" i="11"/>
  <c r="H18" i="11"/>
  <c r="J17" i="11"/>
  <c r="I17" i="11"/>
  <c r="H17" i="11"/>
  <c r="H14" i="11"/>
  <c r="I14" i="11"/>
  <c r="J14" i="11"/>
  <c r="J13" i="11"/>
  <c r="I13" i="11"/>
  <c r="H13" i="11"/>
  <c r="J12" i="11"/>
  <c r="I12" i="11"/>
  <c r="H12" i="11"/>
  <c r="AS6" i="11"/>
  <c r="AR6" i="11"/>
  <c r="AR7" i="11" s="1"/>
  <c r="AR9" i="11" s="1"/>
  <c r="AI6" i="11"/>
  <c r="AH6" i="11"/>
  <c r="AG6" i="11"/>
  <c r="AG7" i="11" s="1"/>
  <c r="AF6" i="11"/>
  <c r="AF7" i="11" s="1"/>
  <c r="AF9" i="11" s="1"/>
  <c r="Y6" i="11"/>
  <c r="Y7" i="11" s="1"/>
  <c r="Y9" i="11" s="1"/>
  <c r="AC9" i="11" s="1"/>
  <c r="X6" i="11"/>
  <c r="X7" i="11" s="1"/>
  <c r="W6" i="11"/>
  <c r="W7" i="11" s="1"/>
  <c r="W9" i="11" s="1"/>
  <c r="AB9" i="11" s="1"/>
  <c r="V6" i="11"/>
  <c r="Z6" i="11"/>
  <c r="Z7" i="11" s="1"/>
  <c r="O6" i="11"/>
  <c r="N6" i="11"/>
  <c r="M6" i="11"/>
  <c r="L6" i="11"/>
  <c r="P6" i="11"/>
  <c r="F6" i="11"/>
  <c r="E6" i="11"/>
  <c r="E7" i="11" s="1"/>
  <c r="E9" i="11" s="1"/>
  <c r="I9" i="11" s="1"/>
  <c r="D6" i="11"/>
  <c r="D7" i="11" s="1"/>
  <c r="C6" i="11"/>
  <c r="C7" i="11" s="1"/>
  <c r="B6" i="11"/>
  <c r="B7" i="11" s="1"/>
  <c r="BA21" i="11"/>
  <c r="AZ21" i="11"/>
  <c r="AY21" i="11"/>
  <c r="AX21" i="11"/>
  <c r="AW21" i="11"/>
  <c r="AT21" i="11"/>
  <c r="AS21" i="11"/>
  <c r="AR21" i="11"/>
  <c r="AQ21" i="11"/>
  <c r="AP21" i="11"/>
  <c r="AJ21" i="11"/>
  <c r="AI21" i="11"/>
  <c r="AH21" i="11"/>
  <c r="AG21" i="11"/>
  <c r="AF21" i="11"/>
  <c r="P21" i="11"/>
  <c r="O21" i="11"/>
  <c r="N21" i="11"/>
  <c r="M21" i="11"/>
  <c r="L21" i="11"/>
  <c r="F21" i="11"/>
  <c r="E21" i="11"/>
  <c r="D21" i="11"/>
  <c r="C21" i="11"/>
  <c r="B21" i="11"/>
  <c r="Z19" i="11"/>
  <c r="AD19" i="11" s="1"/>
  <c r="Z17" i="11"/>
  <c r="Y17" i="11"/>
  <c r="Y21" i="11" s="1"/>
  <c r="X17" i="11"/>
  <c r="X21" i="11" s="1"/>
  <c r="W17" i="11"/>
  <c r="W21" i="11" s="1"/>
  <c r="V17" i="11"/>
  <c r="V21" i="11" s="1"/>
  <c r="BA15" i="11"/>
  <c r="AZ15" i="11"/>
  <c r="AY15" i="11"/>
  <c r="AX15" i="11"/>
  <c r="AW15" i="11"/>
  <c r="AT15" i="11"/>
  <c r="AS15" i="11"/>
  <c r="AR15" i="11"/>
  <c r="AQ15" i="11"/>
  <c r="AP15" i="11"/>
  <c r="AJ15" i="11"/>
  <c r="AI15" i="11"/>
  <c r="AH15" i="11"/>
  <c r="AG15" i="11"/>
  <c r="AF15" i="11"/>
  <c r="Z15" i="11"/>
  <c r="Y15" i="11"/>
  <c r="X15" i="11"/>
  <c r="W15" i="11"/>
  <c r="V15" i="11"/>
  <c r="V31" i="11" s="1"/>
  <c r="P15" i="11"/>
  <c r="O15" i="11"/>
  <c r="N15" i="11"/>
  <c r="M15" i="11"/>
  <c r="L15" i="11"/>
  <c r="F15" i="11"/>
  <c r="E15" i="11"/>
  <c r="D15" i="11"/>
  <c r="C15" i="11"/>
  <c r="B15" i="11"/>
  <c r="BA6" i="11"/>
  <c r="BA7" i="11" s="1"/>
  <c r="BA9" i="11" s="1"/>
  <c r="AT6" i="11"/>
  <c r="AT7" i="11" s="1"/>
  <c r="AT9" i="11" s="1"/>
  <c r="AT10" i="11" s="1"/>
  <c r="AZ6" i="11"/>
  <c r="AW6" i="11"/>
  <c r="AQ6" i="11"/>
  <c r="AP6" i="11"/>
  <c r="AL21" i="11" l="1"/>
  <c r="Z21" i="11"/>
  <c r="AB17" i="11"/>
  <c r="AB21" i="11" s="1"/>
  <c r="AC17" i="11"/>
  <c r="AC21" i="11" s="1"/>
  <c r="AM21" i="11"/>
  <c r="AD17" i="11"/>
  <c r="AD21" i="11" s="1"/>
  <c r="AB15" i="11"/>
  <c r="AC15" i="11"/>
  <c r="AC31" i="11" s="1"/>
  <c r="AL15" i="11"/>
  <c r="I15" i="11"/>
  <c r="AM15" i="11"/>
  <c r="AD15" i="11"/>
  <c r="R21" i="11"/>
  <c r="S21" i="11"/>
  <c r="T21" i="11"/>
  <c r="R15" i="11"/>
  <c r="S15" i="11"/>
  <c r="T15" i="11"/>
  <c r="H21" i="11"/>
  <c r="I21" i="11"/>
  <c r="J21" i="11"/>
  <c r="H15" i="11"/>
  <c r="J15" i="11"/>
  <c r="BA29" i="11"/>
  <c r="B9" i="11"/>
  <c r="B10" i="11" s="1"/>
  <c r="B23" i="11" s="1"/>
  <c r="B24" i="11" s="1"/>
  <c r="X9" i="11"/>
  <c r="X29" i="11" s="1"/>
  <c r="E10" i="11"/>
  <c r="E23" i="11" s="1"/>
  <c r="E24" i="11" s="1"/>
  <c r="Z9" i="11"/>
  <c r="AG9" i="11"/>
  <c r="C9" i="11"/>
  <c r="AR29" i="11"/>
  <c r="D9" i="11"/>
  <c r="D10" i="11" s="1"/>
  <c r="D23" i="11" s="1"/>
  <c r="D24" i="11" s="1"/>
  <c r="AF10" i="11"/>
  <c r="AF23" i="11" s="1"/>
  <c r="AF24" i="11" s="1"/>
  <c r="W10" i="11"/>
  <c r="W23" i="11" s="1"/>
  <c r="W24" i="11" s="1"/>
  <c r="Y10" i="11"/>
  <c r="Y23" i="11" s="1"/>
  <c r="Y24" i="11" s="1"/>
  <c r="Y29" i="11"/>
  <c r="AF29" i="11"/>
  <c r="E29" i="11"/>
  <c r="AT29" i="11"/>
  <c r="W29" i="11"/>
  <c r="AT23" i="11"/>
  <c r="AT24" i="11" s="1"/>
  <c r="AR10" i="11"/>
  <c r="AR23" i="11" s="1"/>
  <c r="AR24" i="11" s="1"/>
  <c r="AX6" i="11"/>
  <c r="AZ7" i="11"/>
  <c r="AZ9" i="11" s="1"/>
  <c r="AY6" i="11"/>
  <c r="N7" i="11"/>
  <c r="N9" i="11" s="1"/>
  <c r="N29" i="11" s="1"/>
  <c r="AJ7" i="11"/>
  <c r="AJ9" i="11" s="1"/>
  <c r="AN9" i="11" s="1"/>
  <c r="AN10" i="11" s="1"/>
  <c r="AN23" i="11" s="1"/>
  <c r="AN24" i="11" s="1"/>
  <c r="AW7" i="11"/>
  <c r="AW9" i="11" s="1"/>
  <c r="AW29" i="11" s="1"/>
  <c r="O7" i="11"/>
  <c r="O9" i="11" s="1"/>
  <c r="F7" i="11"/>
  <c r="F9" i="11" s="1"/>
  <c r="J9" i="11" s="1"/>
  <c r="L7" i="11"/>
  <c r="L9" i="11" s="1"/>
  <c r="L29" i="11" s="1"/>
  <c r="AH7" i="11"/>
  <c r="AH9" i="11" s="1"/>
  <c r="M7" i="11"/>
  <c r="M9" i="11" s="1"/>
  <c r="AI7" i="11"/>
  <c r="AI9" i="11" s="1"/>
  <c r="AM9" i="11" s="1"/>
  <c r="BA10" i="11"/>
  <c r="BA23" i="11" s="1"/>
  <c r="BA24" i="11" s="1"/>
  <c r="AP7" i="11"/>
  <c r="AP9" i="11" s="1"/>
  <c r="P7" i="11"/>
  <c r="AQ7" i="11"/>
  <c r="AQ9" i="11" s="1"/>
  <c r="V7" i="11"/>
  <c r="V9" i="11" s="1"/>
  <c r="AC29" i="11" l="1"/>
  <c r="Z29" i="11"/>
  <c r="AN29" i="11"/>
  <c r="AB29" i="11"/>
  <c r="AM29" i="11"/>
  <c r="AG29" i="11"/>
  <c r="AL9" i="11"/>
  <c r="AL29" i="11" s="1"/>
  <c r="AD9" i="11"/>
  <c r="B29" i="11"/>
  <c r="M29" i="11"/>
  <c r="R9" i="11"/>
  <c r="O29" i="11"/>
  <c r="S9" i="11"/>
  <c r="I29" i="11"/>
  <c r="C29" i="11"/>
  <c r="H9" i="11"/>
  <c r="J29" i="11"/>
  <c r="D29" i="11"/>
  <c r="AG10" i="11"/>
  <c r="AG23" i="11" s="1"/>
  <c r="AG24" i="11" s="1"/>
  <c r="AW10" i="11"/>
  <c r="AW23" i="11" s="1"/>
  <c r="AW24" i="11" s="1"/>
  <c r="X10" i="11"/>
  <c r="X23" i="11" s="1"/>
  <c r="X24" i="11" s="1"/>
  <c r="C10" i="11"/>
  <c r="C23" i="11" s="1"/>
  <c r="C24" i="11" s="1"/>
  <c r="Z10" i="11"/>
  <c r="Z23" i="11" s="1"/>
  <c r="Z24" i="11" s="1"/>
  <c r="P9" i="11"/>
  <c r="AI10" i="11"/>
  <c r="AI23" i="11" s="1"/>
  <c r="AI24" i="11" s="1"/>
  <c r="AI29" i="11"/>
  <c r="V10" i="11"/>
  <c r="V23" i="11" s="1"/>
  <c r="V24" i="11" s="1"/>
  <c r="V29" i="11"/>
  <c r="AJ10" i="11"/>
  <c r="AJ23" i="11" s="1"/>
  <c r="AJ24" i="11" s="1"/>
  <c r="AJ29" i="11"/>
  <c r="AH10" i="11"/>
  <c r="AH23" i="11" s="1"/>
  <c r="AH24" i="11" s="1"/>
  <c r="AH29" i="11"/>
  <c r="F10" i="11"/>
  <c r="F23" i="11" s="1"/>
  <c r="F24" i="11" s="1"/>
  <c r="F29" i="11"/>
  <c r="AX7" i="11"/>
  <c r="AX9" i="11" s="1"/>
  <c r="AX29" i="11" s="1"/>
  <c r="AY7" i="11"/>
  <c r="AY9" i="11" s="1"/>
  <c r="AY29" i="11" s="1"/>
  <c r="AZ10" i="11"/>
  <c r="AZ23" i="11" s="1"/>
  <c r="AZ24" i="11" s="1"/>
  <c r="AZ29" i="11"/>
  <c r="AQ10" i="11"/>
  <c r="AQ23" i="11" s="1"/>
  <c r="AQ24" i="11" s="1"/>
  <c r="AQ29" i="11"/>
  <c r="AP10" i="11"/>
  <c r="AP23" i="11" s="1"/>
  <c r="AP24" i="11" s="1"/>
  <c r="AP29" i="11"/>
  <c r="M10" i="11"/>
  <c r="M23" i="11" s="1"/>
  <c r="M24" i="11" s="1"/>
  <c r="O10" i="11"/>
  <c r="O23" i="11" s="1"/>
  <c r="O24" i="11" s="1"/>
  <c r="N10" i="11"/>
  <c r="N23" i="11" s="1"/>
  <c r="N24" i="11" s="1"/>
  <c r="L10" i="11"/>
  <c r="L23" i="11" s="1"/>
  <c r="L24" i="11" s="1"/>
  <c r="AS7" i="11"/>
  <c r="AS9" i="11" s="1"/>
  <c r="H29" i="11" l="1"/>
  <c r="AD29" i="11"/>
  <c r="P29" i="11"/>
  <c r="T9" i="11"/>
  <c r="S29" i="11"/>
  <c r="R29" i="11"/>
  <c r="P10" i="11"/>
  <c r="P23" i="11" s="1"/>
  <c r="P24" i="11" s="1"/>
  <c r="AY10" i="11"/>
  <c r="AY23" i="11" s="1"/>
  <c r="AY24" i="11" s="1"/>
  <c r="AX10" i="11"/>
  <c r="AX23" i="11" s="1"/>
  <c r="AX24" i="11" s="1"/>
  <c r="AS10" i="11"/>
  <c r="AS23" i="11" s="1"/>
  <c r="AS24" i="11" s="1"/>
  <c r="AS29" i="11"/>
  <c r="T29" i="11" l="1"/>
  <c r="K28" i="8" l="1"/>
  <c r="J28" i="8"/>
  <c r="I28" i="8"/>
  <c r="H28" i="8"/>
  <c r="F4" i="3"/>
  <c r="E11" i="3"/>
  <c r="D4" i="3"/>
  <c r="B4" i="3"/>
  <c r="H84" i="9"/>
  <c r="G84" i="9"/>
  <c r="H83" i="9"/>
  <c r="G83" i="9"/>
  <c r="I67" i="9"/>
  <c r="F60" i="9"/>
  <c r="F84" i="9" s="1"/>
  <c r="E60" i="9"/>
  <c r="E84" i="9" s="1"/>
  <c r="D60" i="9"/>
  <c r="D84" i="9" s="1"/>
  <c r="C60" i="9"/>
  <c r="C84" i="9" s="1"/>
  <c r="F59" i="9"/>
  <c r="F83" i="9" s="1"/>
  <c r="E59" i="9"/>
  <c r="E83" i="9" s="1"/>
  <c r="D59" i="9"/>
  <c r="D83" i="9" s="1"/>
  <c r="C59" i="9"/>
  <c r="C83" i="9" s="1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C37" i="10"/>
  <c r="C38" i="10" s="1"/>
  <c r="D37" i="10"/>
  <c r="D38" i="10" s="1"/>
  <c r="C4" i="7" l="1"/>
  <c r="D39" i="10"/>
  <c r="B4" i="7"/>
  <c r="B11" i="7" s="1"/>
  <c r="C39" i="10"/>
  <c r="B11" i="3"/>
  <c r="C11" i="3"/>
  <c r="H27" i="3"/>
  <c r="H35" i="3"/>
  <c r="D11" i="3"/>
  <c r="H20" i="3" s="1"/>
  <c r="I5" i="11" s="1"/>
  <c r="F11" i="3"/>
  <c r="H36" i="3" s="1"/>
  <c r="J5" i="11" s="1"/>
  <c r="I42" i="10"/>
  <c r="I63" i="10" s="1"/>
  <c r="I58" i="10"/>
  <c r="I35" i="10"/>
  <c r="I56" i="10" s="1"/>
  <c r="I33" i="10"/>
  <c r="I54" i="10" s="1"/>
  <c r="I32" i="10"/>
  <c r="I53" i="10" s="1"/>
  <c r="I30" i="10"/>
  <c r="I51" i="10" s="1"/>
  <c r="I29" i="10"/>
  <c r="I50" i="10" s="1"/>
  <c r="I27" i="10"/>
  <c r="I48" i="10" s="1"/>
  <c r="I26" i="10"/>
  <c r="I47" i="10" s="1"/>
  <c r="H40" i="10"/>
  <c r="H42" i="10" s="1"/>
  <c r="H37" i="10"/>
  <c r="H39" i="10" s="1"/>
  <c r="H36" i="10"/>
  <c r="H57" i="10" s="1"/>
  <c r="H54" i="10"/>
  <c r="H53" i="10"/>
  <c r="H30" i="10"/>
  <c r="H51" i="10" s="1"/>
  <c r="H29" i="10"/>
  <c r="H50" i="10" s="1"/>
  <c r="H27" i="10"/>
  <c r="H48" i="10" s="1"/>
  <c r="H26" i="10"/>
  <c r="H47" i="10" s="1"/>
  <c r="H55" i="10"/>
  <c r="H52" i="10"/>
  <c r="H49" i="10"/>
  <c r="H46" i="10"/>
  <c r="I61" i="10"/>
  <c r="I52" i="10"/>
  <c r="I49" i="10"/>
  <c r="I46" i="10"/>
  <c r="G52" i="10"/>
  <c r="G46" i="10"/>
  <c r="F46" i="10"/>
  <c r="E46" i="10"/>
  <c r="D46" i="10"/>
  <c r="C46" i="10"/>
  <c r="G40" i="10"/>
  <c r="G42" i="10" s="1"/>
  <c r="F40" i="10"/>
  <c r="E40" i="10"/>
  <c r="D40" i="10"/>
  <c r="C40" i="10"/>
  <c r="G37" i="10"/>
  <c r="G39" i="10" s="1"/>
  <c r="F37" i="10"/>
  <c r="E37" i="10"/>
  <c r="D58" i="10"/>
  <c r="C59" i="10"/>
  <c r="G34" i="10"/>
  <c r="F34" i="10"/>
  <c r="E34" i="10"/>
  <c r="D34" i="10"/>
  <c r="C34" i="10"/>
  <c r="G54" i="10"/>
  <c r="G53" i="10"/>
  <c r="F31" i="10"/>
  <c r="E31" i="10"/>
  <c r="D31" i="10"/>
  <c r="C31" i="10"/>
  <c r="G28" i="10"/>
  <c r="F28" i="10"/>
  <c r="E28" i="10"/>
  <c r="D28" i="10"/>
  <c r="D49" i="10" s="1"/>
  <c r="C28" i="10"/>
  <c r="C49" i="10" s="1"/>
  <c r="G27" i="10"/>
  <c r="G48" i="10" s="1"/>
  <c r="F27" i="10"/>
  <c r="F48" i="10" s="1"/>
  <c r="E27" i="10"/>
  <c r="E48" i="10" s="1"/>
  <c r="D27" i="10"/>
  <c r="D48" i="10" s="1"/>
  <c r="C27" i="10"/>
  <c r="C48" i="10" s="1"/>
  <c r="G26" i="10"/>
  <c r="G47" i="10" s="1"/>
  <c r="F26" i="10"/>
  <c r="F47" i="10" s="1"/>
  <c r="E26" i="10"/>
  <c r="E47" i="10" s="1"/>
  <c r="D26" i="10"/>
  <c r="D47" i="10" s="1"/>
  <c r="C26" i="10"/>
  <c r="C47" i="10" s="1"/>
  <c r="G19" i="10"/>
  <c r="G20" i="10" s="1"/>
  <c r="F19" i="10"/>
  <c r="F20" i="10" s="1"/>
  <c r="E19" i="10"/>
  <c r="E20" i="10" s="1"/>
  <c r="D19" i="10"/>
  <c r="D20" i="10" s="1"/>
  <c r="C19" i="10"/>
  <c r="C20" i="10" s="1"/>
  <c r="G16" i="10"/>
  <c r="G17" i="10" s="1"/>
  <c r="F16" i="10"/>
  <c r="F17" i="10" s="1"/>
  <c r="E16" i="10"/>
  <c r="E17" i="10" s="1"/>
  <c r="D16" i="10"/>
  <c r="D17" i="10" s="1"/>
  <c r="C16" i="10"/>
  <c r="C17" i="10" s="1"/>
  <c r="G13" i="10"/>
  <c r="G14" i="10" s="1"/>
  <c r="F13" i="10"/>
  <c r="F14" i="10" s="1"/>
  <c r="E13" i="10"/>
  <c r="E14" i="10" s="1"/>
  <c r="D13" i="10"/>
  <c r="D14" i="10" s="1"/>
  <c r="C13" i="10"/>
  <c r="C14" i="10" s="1"/>
  <c r="G10" i="10"/>
  <c r="G11" i="10" s="1"/>
  <c r="F10" i="10"/>
  <c r="F11" i="10" s="1"/>
  <c r="E10" i="10"/>
  <c r="E11" i="10" s="1"/>
  <c r="D10" i="10"/>
  <c r="D11" i="10" s="1"/>
  <c r="C10" i="10"/>
  <c r="C11" i="10" s="1"/>
  <c r="G4" i="10"/>
  <c r="G5" i="10" s="1"/>
  <c r="F4" i="10"/>
  <c r="F5" i="10" s="1"/>
  <c r="E4" i="10"/>
  <c r="E5" i="10" s="1"/>
  <c r="D4" i="10"/>
  <c r="D5" i="10" s="1"/>
  <c r="C4" i="10"/>
  <c r="C5" i="10" s="1"/>
  <c r="I68" i="9"/>
  <c r="I92" i="9" s="1"/>
  <c r="H63" i="9"/>
  <c r="H87" i="9" s="1"/>
  <c r="I62" i="9"/>
  <c r="I86" i="9" s="1"/>
  <c r="H62" i="9"/>
  <c r="H86" i="9" s="1"/>
  <c r="H51" i="9"/>
  <c r="H75" i="9" s="1"/>
  <c r="I69" i="9"/>
  <c r="I93" i="9" s="1"/>
  <c r="H46" i="9"/>
  <c r="H69" i="9" s="1"/>
  <c r="H93" i="9" s="1"/>
  <c r="G46" i="9"/>
  <c r="G69" i="9" s="1"/>
  <c r="G93" i="9" s="1"/>
  <c r="F46" i="9"/>
  <c r="E46" i="9"/>
  <c r="D46" i="9"/>
  <c r="C46" i="9"/>
  <c r="H45" i="9"/>
  <c r="H68" i="9" s="1"/>
  <c r="H92" i="9" s="1"/>
  <c r="G45" i="9"/>
  <c r="G68" i="9" s="1"/>
  <c r="G92" i="9" s="1"/>
  <c r="F45" i="9"/>
  <c r="E6" i="8" s="1"/>
  <c r="J21" i="8" s="1"/>
  <c r="E45" i="9"/>
  <c r="D45" i="9"/>
  <c r="C45" i="9"/>
  <c r="I91" i="9"/>
  <c r="H44" i="9"/>
  <c r="H67" i="9" s="1"/>
  <c r="H91" i="9" s="1"/>
  <c r="G44" i="9"/>
  <c r="G67" i="9" s="1"/>
  <c r="G91" i="9" s="1"/>
  <c r="F44" i="9"/>
  <c r="E44" i="9"/>
  <c r="D44" i="9"/>
  <c r="C5" i="8" s="1"/>
  <c r="I15" i="8" s="1"/>
  <c r="C44" i="9"/>
  <c r="B5" i="8" s="1"/>
  <c r="I14" i="8" s="1"/>
  <c r="I43" i="9"/>
  <c r="I66" i="9" s="1"/>
  <c r="I90" i="9" s="1"/>
  <c r="H43" i="9"/>
  <c r="H66" i="9" s="1"/>
  <c r="H90" i="9" s="1"/>
  <c r="G43" i="9"/>
  <c r="G66" i="9" s="1"/>
  <c r="G90" i="9" s="1"/>
  <c r="F43" i="9"/>
  <c r="E7" i="7" s="1"/>
  <c r="K21" i="7" s="1"/>
  <c r="E43" i="9"/>
  <c r="D7" i="7" s="1"/>
  <c r="K18" i="7" s="1"/>
  <c r="D43" i="9"/>
  <c r="C7" i="7" s="1"/>
  <c r="K15" i="7" s="1"/>
  <c r="C43" i="9"/>
  <c r="I42" i="9"/>
  <c r="I65" i="9" s="1"/>
  <c r="I89" i="9" s="1"/>
  <c r="H42" i="9"/>
  <c r="H65" i="9" s="1"/>
  <c r="H89" i="9" s="1"/>
  <c r="G42" i="9"/>
  <c r="G65" i="9" s="1"/>
  <c r="G89" i="9" s="1"/>
  <c r="F42" i="9"/>
  <c r="E42" i="9"/>
  <c r="D42" i="9"/>
  <c r="C42" i="9"/>
  <c r="I41" i="9"/>
  <c r="I64" i="9" s="1"/>
  <c r="I88" i="9" s="1"/>
  <c r="H41" i="9"/>
  <c r="H64" i="9" s="1"/>
  <c r="H88" i="9" s="1"/>
  <c r="G41" i="9"/>
  <c r="G64" i="9" s="1"/>
  <c r="G88" i="9" s="1"/>
  <c r="F41" i="9"/>
  <c r="E41" i="9"/>
  <c r="D41" i="9"/>
  <c r="C41" i="9"/>
  <c r="I63" i="9"/>
  <c r="I87" i="9" s="1"/>
  <c r="G40" i="9"/>
  <c r="G63" i="9" s="1"/>
  <c r="F40" i="9"/>
  <c r="E40" i="9"/>
  <c r="D40" i="9"/>
  <c r="C40" i="9"/>
  <c r="G39" i="9"/>
  <c r="G62" i="9" s="1"/>
  <c r="F39" i="9"/>
  <c r="E39" i="9"/>
  <c r="D39" i="9"/>
  <c r="C39" i="9"/>
  <c r="I61" i="9"/>
  <c r="I85" i="9" s="1"/>
  <c r="H61" i="9"/>
  <c r="H85" i="9" s="1"/>
  <c r="G38" i="9"/>
  <c r="G61" i="9" s="1"/>
  <c r="F38" i="9"/>
  <c r="F61" i="9" s="1"/>
  <c r="E38" i="9"/>
  <c r="E61" i="9" s="1"/>
  <c r="D38" i="9"/>
  <c r="D61" i="9" s="1"/>
  <c r="C38" i="9"/>
  <c r="C61" i="9" s="1"/>
  <c r="B5" i="4" s="1"/>
  <c r="I14" i="4" s="1"/>
  <c r="I37" i="9"/>
  <c r="I60" i="9" s="1"/>
  <c r="I84" i="9" s="1"/>
  <c r="I36" i="9"/>
  <c r="I59" i="9" s="1"/>
  <c r="I83" i="9" s="1"/>
  <c r="I35" i="9"/>
  <c r="I58" i="9" s="1"/>
  <c r="I82" i="9" s="1"/>
  <c r="H35" i="9"/>
  <c r="H58" i="9" s="1"/>
  <c r="H82" i="9" s="1"/>
  <c r="G35" i="9"/>
  <c r="G58" i="9" s="1"/>
  <c r="G82" i="9" s="1"/>
  <c r="F35" i="9"/>
  <c r="E35" i="9"/>
  <c r="D35" i="9"/>
  <c r="C35" i="9"/>
  <c r="I34" i="9"/>
  <c r="I57" i="9" s="1"/>
  <c r="I81" i="9" s="1"/>
  <c r="H34" i="9"/>
  <c r="H57" i="9" s="1"/>
  <c r="H81" i="9" s="1"/>
  <c r="G34" i="9"/>
  <c r="G57" i="9" s="1"/>
  <c r="G81" i="9" s="1"/>
  <c r="F34" i="9"/>
  <c r="E34" i="9"/>
  <c r="D34" i="9"/>
  <c r="C34" i="9"/>
  <c r="I33" i="9"/>
  <c r="I56" i="9" s="1"/>
  <c r="I80" i="9" s="1"/>
  <c r="H33" i="9"/>
  <c r="H56" i="9" s="1"/>
  <c r="H80" i="9" s="1"/>
  <c r="G33" i="9"/>
  <c r="G56" i="9" s="1"/>
  <c r="G80" i="9" s="1"/>
  <c r="F33" i="9"/>
  <c r="F56" i="9" s="1"/>
  <c r="E5" i="5" s="1"/>
  <c r="I21" i="5" s="1"/>
  <c r="E33" i="9"/>
  <c r="E56" i="9" s="1"/>
  <c r="D33" i="9"/>
  <c r="D56" i="9" s="1"/>
  <c r="C33" i="9"/>
  <c r="C56" i="9" s="1"/>
  <c r="B5" i="5" s="1"/>
  <c r="I14" i="5" s="1"/>
  <c r="I32" i="9"/>
  <c r="G32" i="9"/>
  <c r="F32" i="9"/>
  <c r="E32" i="9"/>
  <c r="D32" i="9"/>
  <c r="C32" i="9"/>
  <c r="I31" i="9"/>
  <c r="G31" i="9"/>
  <c r="F31" i="9"/>
  <c r="E31" i="9"/>
  <c r="D31" i="9"/>
  <c r="C31" i="9"/>
  <c r="I30" i="9"/>
  <c r="I53" i="9" s="1"/>
  <c r="I54" i="9" s="1"/>
  <c r="I78" i="9" s="1"/>
  <c r="H53" i="9"/>
  <c r="H55" i="9" s="1"/>
  <c r="H79" i="9" s="1"/>
  <c r="G30" i="9"/>
  <c r="G53" i="9" s="1"/>
  <c r="F30" i="9"/>
  <c r="F53" i="9" s="1"/>
  <c r="E30" i="9"/>
  <c r="E53" i="9" s="1"/>
  <c r="D30" i="9"/>
  <c r="D53" i="9" s="1"/>
  <c r="C30" i="9"/>
  <c r="C53" i="9" s="1"/>
  <c r="I29" i="9"/>
  <c r="I52" i="9" s="1"/>
  <c r="I76" i="9" s="1"/>
  <c r="H52" i="9"/>
  <c r="H76" i="9" s="1"/>
  <c r="G29" i="9"/>
  <c r="G52" i="9" s="1"/>
  <c r="G76" i="9" s="1"/>
  <c r="F7" i="3" s="1"/>
  <c r="F29" i="9"/>
  <c r="F52" i="9" s="1"/>
  <c r="F76" i="9" s="1"/>
  <c r="E7" i="3" s="1"/>
  <c r="E29" i="9"/>
  <c r="E52" i="9" s="1"/>
  <c r="E76" i="9" s="1"/>
  <c r="D7" i="3" s="1"/>
  <c r="D29" i="9"/>
  <c r="D52" i="9" s="1"/>
  <c r="D76" i="9" s="1"/>
  <c r="C7" i="3" s="1"/>
  <c r="C29" i="9"/>
  <c r="C52" i="9" s="1"/>
  <c r="C76" i="9" s="1"/>
  <c r="B7" i="3" s="1"/>
  <c r="I28" i="9"/>
  <c r="I51" i="9" s="1"/>
  <c r="I75" i="9" s="1"/>
  <c r="G28" i="9"/>
  <c r="G51" i="9" s="1"/>
  <c r="G75" i="9" s="1"/>
  <c r="F6" i="3" s="1"/>
  <c r="F28" i="9"/>
  <c r="F51" i="9" s="1"/>
  <c r="F75" i="9" s="1"/>
  <c r="E6" i="3" s="1"/>
  <c r="E28" i="9"/>
  <c r="E51" i="9" s="1"/>
  <c r="E75" i="9" s="1"/>
  <c r="D6" i="3" s="1"/>
  <c r="D28" i="9"/>
  <c r="D51" i="9" s="1"/>
  <c r="D75" i="9" s="1"/>
  <c r="C6" i="3" s="1"/>
  <c r="C28" i="9"/>
  <c r="C51" i="9" s="1"/>
  <c r="C75" i="9" s="1"/>
  <c r="B6" i="3" s="1"/>
  <c r="I27" i="9"/>
  <c r="I50" i="9" s="1"/>
  <c r="I74" i="9" s="1"/>
  <c r="H50" i="9"/>
  <c r="H74" i="9" s="1"/>
  <c r="G27" i="9"/>
  <c r="G50" i="9" s="1"/>
  <c r="G74" i="9" s="1"/>
  <c r="F5" i="3" s="1"/>
  <c r="F27" i="9"/>
  <c r="F50" i="9" s="1"/>
  <c r="F74" i="9" s="1"/>
  <c r="E5" i="3" s="1"/>
  <c r="E27" i="9"/>
  <c r="E50" i="9" s="1"/>
  <c r="E74" i="9" s="1"/>
  <c r="D5" i="3" s="1"/>
  <c r="D27" i="9"/>
  <c r="D50" i="9" s="1"/>
  <c r="D74" i="9" s="1"/>
  <c r="C5" i="3" s="1"/>
  <c r="C27" i="9"/>
  <c r="C50" i="9" s="1"/>
  <c r="C74" i="9" s="1"/>
  <c r="B5" i="3" s="1"/>
  <c r="K28" i="7"/>
  <c r="J28" i="7"/>
  <c r="I28" i="7"/>
  <c r="H28" i="7"/>
  <c r="I28" i="5"/>
  <c r="H14" i="3"/>
  <c r="H15" i="7" l="1"/>
  <c r="C11" i="7"/>
  <c r="H14" i="7"/>
  <c r="F68" i="9"/>
  <c r="F92" i="9" s="1"/>
  <c r="H42" i="3"/>
  <c r="C54" i="9"/>
  <c r="B5" i="6"/>
  <c r="I14" i="6" s="1"/>
  <c r="D55" i="9"/>
  <c r="C5" i="6"/>
  <c r="I15" i="6" s="1"/>
  <c r="E55" i="9"/>
  <c r="D5" i="6"/>
  <c r="I18" i="6" s="1"/>
  <c r="F55" i="9"/>
  <c r="E5" i="6"/>
  <c r="I21" i="6" s="1"/>
  <c r="C64" i="9"/>
  <c r="C88" i="9" s="1"/>
  <c r="B5" i="7"/>
  <c r="I14" i="7" s="1"/>
  <c r="E69" i="9"/>
  <c r="E93" i="9" s="1"/>
  <c r="D7" i="8"/>
  <c r="K18" i="8" s="1"/>
  <c r="K24" i="8" s="1"/>
  <c r="I7" i="11"/>
  <c r="I10" i="11"/>
  <c r="I23" i="11" s="1"/>
  <c r="I24" i="11" s="1"/>
  <c r="D64" i="9"/>
  <c r="D88" i="9" s="1"/>
  <c r="C5" i="7"/>
  <c r="I15" i="7" s="1"/>
  <c r="D33" i="10"/>
  <c r="D54" i="10" s="1"/>
  <c r="C4" i="5"/>
  <c r="E64" i="9"/>
  <c r="E88" i="9" s="1"/>
  <c r="D5" i="7"/>
  <c r="I18" i="7" s="1"/>
  <c r="G87" i="9"/>
  <c r="F7" i="4"/>
  <c r="K28" i="4" s="1"/>
  <c r="E52" i="10"/>
  <c r="D4" i="5"/>
  <c r="E58" i="10"/>
  <c r="D4" i="7"/>
  <c r="D66" i="9"/>
  <c r="D90" i="9" s="1"/>
  <c r="G86" i="9"/>
  <c r="F6" i="4"/>
  <c r="J28" i="4" s="1"/>
  <c r="H28" i="5"/>
  <c r="F64" i="9"/>
  <c r="F88" i="9" s="1"/>
  <c r="E5" i="7"/>
  <c r="I21" i="7" s="1"/>
  <c r="H34" i="3"/>
  <c r="H33" i="3"/>
  <c r="H17" i="3"/>
  <c r="H5" i="11" s="1"/>
  <c r="H41" i="3"/>
  <c r="H40" i="3"/>
  <c r="H26" i="3"/>
  <c r="H25" i="3"/>
  <c r="E39" i="10"/>
  <c r="E60" i="10" s="1"/>
  <c r="D63" i="9"/>
  <c r="C5" i="4"/>
  <c r="I15" i="4" s="1"/>
  <c r="C65" i="9"/>
  <c r="C89" i="9" s="1"/>
  <c r="B6" i="7"/>
  <c r="J14" i="7" s="1"/>
  <c r="C30" i="10"/>
  <c r="C51" i="10" s="1"/>
  <c r="B4" i="6"/>
  <c r="D55" i="10"/>
  <c r="C4" i="4"/>
  <c r="C42" i="10"/>
  <c r="C63" i="10" s="1"/>
  <c r="B4" i="8"/>
  <c r="F52" i="10"/>
  <c r="E4" i="5"/>
  <c r="F58" i="10"/>
  <c r="E4" i="7"/>
  <c r="G55" i="9"/>
  <c r="F5" i="6"/>
  <c r="I28" i="6" s="1"/>
  <c r="D68" i="9"/>
  <c r="D92" i="9" s="1"/>
  <c r="C6" i="8"/>
  <c r="J15" i="8" s="1"/>
  <c r="J23" i="8" s="1"/>
  <c r="E66" i="9"/>
  <c r="E90" i="9" s="1"/>
  <c r="D58" i="9"/>
  <c r="C5" i="5"/>
  <c r="I15" i="5" s="1"/>
  <c r="E63" i="9"/>
  <c r="D5" i="4"/>
  <c r="I18" i="4" s="1"/>
  <c r="D65" i="9"/>
  <c r="D89" i="9" s="1"/>
  <c r="C6" i="7"/>
  <c r="J15" i="7" s="1"/>
  <c r="D30" i="10"/>
  <c r="D51" i="10" s="1"/>
  <c r="E55" i="10"/>
  <c r="D4" i="4"/>
  <c r="D42" i="10"/>
  <c r="D63" i="10" s="1"/>
  <c r="C4" i="8"/>
  <c r="E58" i="9"/>
  <c r="D5" i="5"/>
  <c r="I18" i="5" s="1"/>
  <c r="F63" i="9"/>
  <c r="E5" i="4"/>
  <c r="I21" i="4" s="1"/>
  <c r="E65" i="9"/>
  <c r="E89" i="9" s="1"/>
  <c r="D6" i="7"/>
  <c r="J18" i="7" s="1"/>
  <c r="E30" i="10"/>
  <c r="E51" i="10" s="1"/>
  <c r="D4" i="6"/>
  <c r="F35" i="10"/>
  <c r="F56" i="10" s="1"/>
  <c r="E4" i="4"/>
  <c r="E42" i="10"/>
  <c r="E63" i="10" s="1"/>
  <c r="D4" i="8"/>
  <c r="G85" i="9"/>
  <c r="F5" i="4"/>
  <c r="I28" i="4" s="1"/>
  <c r="F65" i="9"/>
  <c r="F89" i="9" s="1"/>
  <c r="E6" i="7"/>
  <c r="J21" i="7" s="1"/>
  <c r="C69" i="9"/>
  <c r="C93" i="9" s="1"/>
  <c r="B7" i="8"/>
  <c r="K14" i="8" s="1"/>
  <c r="K19" i="8" s="1"/>
  <c r="C67" i="9"/>
  <c r="C91" i="9" s="1"/>
  <c r="F30" i="10"/>
  <c r="F51" i="10" s="1"/>
  <c r="G35" i="10"/>
  <c r="G56" i="10" s="1"/>
  <c r="F4" i="4"/>
  <c r="F42" i="10"/>
  <c r="F63" i="10" s="1"/>
  <c r="E4" i="8"/>
  <c r="F67" i="9"/>
  <c r="F91" i="9" s="1"/>
  <c r="E5" i="8"/>
  <c r="I21" i="8" s="1"/>
  <c r="C33" i="10"/>
  <c r="C54" i="10" s="1"/>
  <c r="B4" i="5"/>
  <c r="F69" i="9"/>
  <c r="F93" i="9" s="1"/>
  <c r="E7" i="8"/>
  <c r="K21" i="8" s="1"/>
  <c r="C66" i="9"/>
  <c r="C90" i="9" s="1"/>
  <c r="B7" i="7"/>
  <c r="K14" i="7" s="1"/>
  <c r="C68" i="9"/>
  <c r="C92" i="9" s="1"/>
  <c r="B6" i="8"/>
  <c r="J14" i="8" s="1"/>
  <c r="J19" i="8" s="1"/>
  <c r="H32" i="3"/>
  <c r="H37" i="3"/>
  <c r="H16" i="3"/>
  <c r="H22" i="3"/>
  <c r="H24" i="3"/>
  <c r="H19" i="3"/>
  <c r="H29" i="3"/>
  <c r="H31" i="3"/>
  <c r="H30" i="3"/>
  <c r="H38" i="3"/>
  <c r="H39" i="3"/>
  <c r="H23" i="3"/>
  <c r="E68" i="9"/>
  <c r="E92" i="9" s="1"/>
  <c r="D6" i="8"/>
  <c r="J18" i="8" s="1"/>
  <c r="J24" i="8" s="1"/>
  <c r="F66" i="9"/>
  <c r="F90" i="9" s="1"/>
  <c r="C55" i="10"/>
  <c r="B4" i="4"/>
  <c r="F39" i="10"/>
  <c r="F60" i="10" s="1"/>
  <c r="E67" i="9"/>
  <c r="E91" i="9" s="1"/>
  <c r="D5" i="8"/>
  <c r="I18" i="8" s="1"/>
  <c r="D69" i="9"/>
  <c r="D93" i="9" s="1"/>
  <c r="C7" i="8"/>
  <c r="K15" i="8" s="1"/>
  <c r="K23" i="8" s="1"/>
  <c r="D67" i="9"/>
  <c r="D91" i="9" s="1"/>
  <c r="G49" i="10"/>
  <c r="F4" i="6"/>
  <c r="D36" i="10"/>
  <c r="D57" i="10" s="1"/>
  <c r="J7" i="11"/>
  <c r="J10" i="11"/>
  <c r="J23" i="11" s="1"/>
  <c r="J28" i="5"/>
  <c r="K28" i="5"/>
  <c r="F57" i="9"/>
  <c r="F58" i="9"/>
  <c r="C85" i="9"/>
  <c r="C63" i="9"/>
  <c r="I55" i="9"/>
  <c r="I79" i="9" s="1"/>
  <c r="I36" i="10"/>
  <c r="I57" i="10" s="1"/>
  <c r="I55" i="10"/>
  <c r="I38" i="10"/>
  <c r="I59" i="10" s="1"/>
  <c r="I39" i="10"/>
  <c r="I60" i="10" s="1"/>
  <c r="I41" i="10"/>
  <c r="I62" i="10" s="1"/>
  <c r="H38" i="10"/>
  <c r="H35" i="10"/>
  <c r="H56" i="10" s="1"/>
  <c r="H41" i="10"/>
  <c r="F38" i="10"/>
  <c r="F59" i="10" s="1"/>
  <c r="D41" i="10"/>
  <c r="D62" i="10" s="1"/>
  <c r="D59" i="10"/>
  <c r="E38" i="10"/>
  <c r="E59" i="10" s="1"/>
  <c r="C41" i="10"/>
  <c r="C62" i="10" s="1"/>
  <c r="G38" i="10"/>
  <c r="E41" i="10"/>
  <c r="E62" i="10" s="1"/>
  <c r="C61" i="10"/>
  <c r="C60" i="10"/>
  <c r="D61" i="10"/>
  <c r="G30" i="10"/>
  <c r="G51" i="10" s="1"/>
  <c r="C36" i="10"/>
  <c r="C57" i="10" s="1"/>
  <c r="D60" i="10"/>
  <c r="E61" i="10"/>
  <c r="F36" i="10"/>
  <c r="F57" i="10" s="1"/>
  <c r="F55" i="10"/>
  <c r="E33" i="10"/>
  <c r="E54" i="10" s="1"/>
  <c r="G36" i="10"/>
  <c r="G57" i="10" s="1"/>
  <c r="G55" i="10"/>
  <c r="F33" i="10"/>
  <c r="F54" i="10" s="1"/>
  <c r="C58" i="10"/>
  <c r="C29" i="10"/>
  <c r="C50" i="10" s="1"/>
  <c r="D29" i="10"/>
  <c r="D50" i="10" s="1"/>
  <c r="C32" i="10"/>
  <c r="C53" i="10" s="1"/>
  <c r="F41" i="10"/>
  <c r="F62" i="10" s="1"/>
  <c r="E49" i="10"/>
  <c r="F29" i="10"/>
  <c r="F50" i="10" s="1"/>
  <c r="C52" i="10"/>
  <c r="G29" i="10"/>
  <c r="G50" i="10" s="1"/>
  <c r="E32" i="10"/>
  <c r="E53" i="10" s="1"/>
  <c r="D52" i="10"/>
  <c r="F32" i="10"/>
  <c r="F53" i="10" s="1"/>
  <c r="C35" i="10"/>
  <c r="C56" i="10" s="1"/>
  <c r="E36" i="10"/>
  <c r="E57" i="10" s="1"/>
  <c r="F61" i="10"/>
  <c r="E29" i="10"/>
  <c r="E50" i="10" s="1"/>
  <c r="D32" i="10"/>
  <c r="D53" i="10" s="1"/>
  <c r="G41" i="10"/>
  <c r="F49" i="10"/>
  <c r="D35" i="10"/>
  <c r="D56" i="10" s="1"/>
  <c r="E35" i="10"/>
  <c r="E56" i="10" s="1"/>
  <c r="C77" i="9"/>
  <c r="C80" i="9"/>
  <c r="C57" i="9"/>
  <c r="D77" i="9"/>
  <c r="D80" i="9"/>
  <c r="D57" i="9"/>
  <c r="E77" i="9"/>
  <c r="G77" i="9"/>
  <c r="F80" i="9"/>
  <c r="E54" i="9"/>
  <c r="D85" i="9"/>
  <c r="D62" i="9"/>
  <c r="H77" i="9"/>
  <c r="F54" i="9"/>
  <c r="E85" i="9"/>
  <c r="E62" i="9"/>
  <c r="I77" i="9"/>
  <c r="G54" i="9"/>
  <c r="F85" i="9"/>
  <c r="F62" i="9"/>
  <c r="H54" i="9"/>
  <c r="H78" i="9" s="1"/>
  <c r="C55" i="9"/>
  <c r="E80" i="9"/>
  <c r="E57" i="9"/>
  <c r="F77" i="9"/>
  <c r="D54" i="9"/>
  <c r="C58" i="9"/>
  <c r="C62" i="9"/>
  <c r="K28" i="3"/>
  <c r="J28" i="3"/>
  <c r="I28" i="3"/>
  <c r="H28" i="3"/>
  <c r="K21" i="3"/>
  <c r="J21" i="3"/>
  <c r="I21" i="3"/>
  <c r="H21" i="3"/>
  <c r="K18" i="3"/>
  <c r="J18" i="3"/>
  <c r="I18" i="3"/>
  <c r="H18" i="3"/>
  <c r="K15" i="3"/>
  <c r="J15" i="3"/>
  <c r="I15" i="3"/>
  <c r="H15" i="3"/>
  <c r="K14" i="3"/>
  <c r="J14" i="3"/>
  <c r="I14" i="3"/>
  <c r="C12" i="8"/>
  <c r="B12" i="8"/>
  <c r="B12" i="5"/>
  <c r="H21" i="7" l="1"/>
  <c r="E11" i="7"/>
  <c r="H27" i="7" s="1"/>
  <c r="H18" i="7"/>
  <c r="D11" i="7"/>
  <c r="H17" i="7"/>
  <c r="H25" i="7"/>
  <c r="K16" i="8"/>
  <c r="H23" i="7"/>
  <c r="H22" i="7"/>
  <c r="H19" i="7"/>
  <c r="H16" i="7"/>
  <c r="K22" i="8"/>
  <c r="F12" i="8"/>
  <c r="J22" i="8"/>
  <c r="J24" i="11"/>
  <c r="C12" i="5"/>
  <c r="B12" i="6"/>
  <c r="I19" i="6" s="1"/>
  <c r="E12" i="5"/>
  <c r="C12" i="6"/>
  <c r="I17" i="6" s="1"/>
  <c r="J16" i="8"/>
  <c r="E12" i="8"/>
  <c r="I27" i="8" s="1"/>
  <c r="I25" i="8"/>
  <c r="I17" i="8"/>
  <c r="B11" i="5"/>
  <c r="H14" i="5"/>
  <c r="D87" i="9"/>
  <c r="C7" i="4"/>
  <c r="K15" i="4" s="1"/>
  <c r="H14" i="4"/>
  <c r="M14" i="4" s="1"/>
  <c r="B11" i="4"/>
  <c r="F79" i="9"/>
  <c r="E7" i="6"/>
  <c r="K21" i="6" s="1"/>
  <c r="B11" i="8"/>
  <c r="H14" i="8"/>
  <c r="E79" i="9"/>
  <c r="D7" i="6"/>
  <c r="K18" i="6" s="1"/>
  <c r="I23" i="8"/>
  <c r="I19" i="8"/>
  <c r="I16" i="8"/>
  <c r="I22" i="8"/>
  <c r="H18" i="6"/>
  <c r="D11" i="6"/>
  <c r="H20" i="6" s="1"/>
  <c r="S5" i="11" s="1"/>
  <c r="E86" i="9"/>
  <c r="D6" i="4"/>
  <c r="J18" i="4" s="1"/>
  <c r="C82" i="9"/>
  <c r="B7" i="5"/>
  <c r="K14" i="5" s="1"/>
  <c r="E78" i="9"/>
  <c r="D6" i="6"/>
  <c r="J18" i="6" s="1"/>
  <c r="C87" i="9"/>
  <c r="B7" i="4"/>
  <c r="K14" i="4" s="1"/>
  <c r="H28" i="6"/>
  <c r="F11" i="6"/>
  <c r="H36" i="6" s="1"/>
  <c r="T5" i="11" s="1"/>
  <c r="F11" i="8"/>
  <c r="E11" i="8"/>
  <c r="H27" i="8" s="1"/>
  <c r="H21" i="8"/>
  <c r="E82" i="9"/>
  <c r="D7" i="5"/>
  <c r="K18" i="5" s="1"/>
  <c r="D82" i="9"/>
  <c r="C7" i="5"/>
  <c r="K15" i="5" s="1"/>
  <c r="H15" i="4"/>
  <c r="M15" i="4" s="1"/>
  <c r="C11" i="4"/>
  <c r="H21" i="6"/>
  <c r="E11" i="6"/>
  <c r="D11" i="5"/>
  <c r="AM5" i="11" s="1"/>
  <c r="H18" i="5"/>
  <c r="I16" i="5"/>
  <c r="I19" i="5"/>
  <c r="I22" i="5"/>
  <c r="C86" i="9"/>
  <c r="B6" i="4"/>
  <c r="J14" i="4" s="1"/>
  <c r="F78" i="9"/>
  <c r="E6" i="6"/>
  <c r="J21" i="6" s="1"/>
  <c r="F87" i="9"/>
  <c r="E7" i="4"/>
  <c r="K21" i="4" s="1"/>
  <c r="C11" i="5"/>
  <c r="H15" i="5"/>
  <c r="D11" i="8"/>
  <c r="H20" i="8" s="1"/>
  <c r="H18" i="8"/>
  <c r="C11" i="8"/>
  <c r="H15" i="8"/>
  <c r="H7" i="11"/>
  <c r="H10" i="11"/>
  <c r="H23" i="11" s="1"/>
  <c r="D79" i="9"/>
  <c r="C7" i="6"/>
  <c r="K15" i="6" s="1"/>
  <c r="D81" i="9"/>
  <c r="C6" i="5"/>
  <c r="J15" i="5" s="1"/>
  <c r="H15" i="6"/>
  <c r="C11" i="6"/>
  <c r="G79" i="9"/>
  <c r="F7" i="6"/>
  <c r="K28" i="6" s="1"/>
  <c r="C81" i="9"/>
  <c r="B6" i="5"/>
  <c r="J14" i="5" s="1"/>
  <c r="D78" i="9"/>
  <c r="C6" i="6"/>
  <c r="J15" i="6" s="1"/>
  <c r="E11" i="5"/>
  <c r="H21" i="5"/>
  <c r="D86" i="9"/>
  <c r="C6" i="4"/>
  <c r="J15" i="4" s="1"/>
  <c r="E87" i="9"/>
  <c r="D7" i="4"/>
  <c r="K18" i="4" s="1"/>
  <c r="E12" i="6"/>
  <c r="H28" i="4"/>
  <c r="M28" i="4" s="1"/>
  <c r="F11" i="4"/>
  <c r="H36" i="4" s="1"/>
  <c r="M36" i="4" s="1"/>
  <c r="H14" i="6"/>
  <c r="B11" i="6"/>
  <c r="H20" i="7"/>
  <c r="G78" i="9"/>
  <c r="F6" i="6"/>
  <c r="J28" i="6" s="1"/>
  <c r="E81" i="9"/>
  <c r="D6" i="5"/>
  <c r="J18" i="5" s="1"/>
  <c r="F12" i="6"/>
  <c r="I36" i="6" s="1"/>
  <c r="C79" i="9"/>
  <c r="B7" i="6"/>
  <c r="K14" i="6" s="1"/>
  <c r="B12" i="7"/>
  <c r="C12" i="7"/>
  <c r="F86" i="9"/>
  <c r="E6" i="4"/>
  <c r="J21" i="4" s="1"/>
  <c r="F82" i="9"/>
  <c r="E7" i="5"/>
  <c r="K21" i="5" s="1"/>
  <c r="E12" i="7"/>
  <c r="I27" i="7" s="1"/>
  <c r="F81" i="9"/>
  <c r="E6" i="5"/>
  <c r="J21" i="5" s="1"/>
  <c r="H21" i="4"/>
  <c r="M21" i="4" s="1"/>
  <c r="E11" i="4"/>
  <c r="H18" i="4"/>
  <c r="M18" i="4" s="1"/>
  <c r="D11" i="4"/>
  <c r="H20" i="4" s="1"/>
  <c r="M20" i="4" s="1"/>
  <c r="C78" i="9"/>
  <c r="B6" i="6"/>
  <c r="J14" i="6" s="1"/>
  <c r="D12" i="8"/>
  <c r="I20" i="8" s="1"/>
  <c r="D12" i="5"/>
  <c r="I20" i="5" s="1"/>
  <c r="D12" i="6" l="1"/>
  <c r="I20" i="6" s="1"/>
  <c r="J20" i="6" s="1"/>
  <c r="I23" i="6"/>
  <c r="K23" i="6" s="1"/>
  <c r="K27" i="7"/>
  <c r="J27" i="7"/>
  <c r="H24" i="7"/>
  <c r="I26" i="7"/>
  <c r="I17" i="7"/>
  <c r="I25" i="7"/>
  <c r="D12" i="7"/>
  <c r="I20" i="7" s="1"/>
  <c r="I23" i="7"/>
  <c r="I22" i="7"/>
  <c r="I19" i="7"/>
  <c r="I16" i="7"/>
  <c r="H26" i="7"/>
  <c r="I30" i="6"/>
  <c r="K30" i="6" s="1"/>
  <c r="I26" i="5"/>
  <c r="K26" i="5" s="1"/>
  <c r="I23" i="5"/>
  <c r="K23" i="5" s="1"/>
  <c r="I38" i="6"/>
  <c r="J38" i="6" s="1"/>
  <c r="I29" i="6"/>
  <c r="K29" i="6" s="1"/>
  <c r="I22" i="6"/>
  <c r="J22" i="6" s="1"/>
  <c r="I41" i="6"/>
  <c r="J41" i="6" s="1"/>
  <c r="I17" i="5"/>
  <c r="J17" i="5" s="1"/>
  <c r="I25" i="5"/>
  <c r="K25" i="5" s="1"/>
  <c r="I26" i="8"/>
  <c r="J26" i="8" s="1"/>
  <c r="I27" i="5"/>
  <c r="K27" i="5" s="1"/>
  <c r="I34" i="6"/>
  <c r="K34" i="6" s="1"/>
  <c r="I16" i="6"/>
  <c r="K16" i="6" s="1"/>
  <c r="I24" i="5"/>
  <c r="J24" i="5" s="1"/>
  <c r="I25" i="6"/>
  <c r="J25" i="6" s="1"/>
  <c r="I31" i="6"/>
  <c r="K31" i="6" s="1"/>
  <c r="I26" i="6"/>
  <c r="K26" i="6" s="1"/>
  <c r="I40" i="6"/>
  <c r="J40" i="6" s="1"/>
  <c r="I24" i="8"/>
  <c r="AC5" i="11"/>
  <c r="AC7" i="11" s="1"/>
  <c r="H24" i="11"/>
  <c r="I37" i="6"/>
  <c r="K37" i="6" s="1"/>
  <c r="I33" i="6"/>
  <c r="K33" i="6" s="1"/>
  <c r="H32" i="4"/>
  <c r="M32" i="4" s="1"/>
  <c r="H23" i="4"/>
  <c r="M23" i="4" s="1"/>
  <c r="H37" i="4"/>
  <c r="M37" i="4" s="1"/>
  <c r="H24" i="4"/>
  <c r="M24" i="4" s="1"/>
  <c r="H29" i="4"/>
  <c r="M29" i="4" s="1"/>
  <c r="H30" i="4"/>
  <c r="M30" i="4" s="1"/>
  <c r="H19" i="4"/>
  <c r="M19" i="4" s="1"/>
  <c r="H38" i="4"/>
  <c r="M38" i="4" s="1"/>
  <c r="H16" i="4"/>
  <c r="M16" i="4" s="1"/>
  <c r="H39" i="4"/>
  <c r="M39" i="4" s="1"/>
  <c r="H22" i="4"/>
  <c r="M22" i="4" s="1"/>
  <c r="H31" i="4"/>
  <c r="M31" i="4" s="1"/>
  <c r="J20" i="5"/>
  <c r="K20" i="5"/>
  <c r="T7" i="11"/>
  <c r="T10" i="11"/>
  <c r="T23" i="11" s="1"/>
  <c r="H35" i="4"/>
  <c r="M35" i="4" s="1"/>
  <c r="H27" i="4"/>
  <c r="M27" i="4" s="1"/>
  <c r="H42" i="4"/>
  <c r="M42" i="4" s="1"/>
  <c r="I27" i="6"/>
  <c r="I35" i="6"/>
  <c r="I42" i="6"/>
  <c r="H27" i="6"/>
  <c r="H42" i="6"/>
  <c r="H35" i="6"/>
  <c r="K19" i="5"/>
  <c r="J19" i="5"/>
  <c r="H32" i="6"/>
  <c r="H31" i="6"/>
  <c r="H19" i="6"/>
  <c r="H38" i="6"/>
  <c r="H37" i="6"/>
  <c r="H24" i="6"/>
  <c r="H23" i="6"/>
  <c r="H22" i="6"/>
  <c r="H30" i="6"/>
  <c r="H29" i="6"/>
  <c r="H16" i="6"/>
  <c r="H39" i="6"/>
  <c r="H26" i="8"/>
  <c r="H25" i="8"/>
  <c r="H17" i="8"/>
  <c r="AM7" i="11"/>
  <c r="AM10" i="11"/>
  <c r="AM23" i="11" s="1"/>
  <c r="K36" i="6"/>
  <c r="J36" i="6"/>
  <c r="K22" i="5"/>
  <c r="J22" i="5"/>
  <c r="K17" i="8"/>
  <c r="J17" i="8"/>
  <c r="S7" i="11"/>
  <c r="S10" i="11"/>
  <c r="S23" i="11" s="1"/>
  <c r="K16" i="5"/>
  <c r="J16" i="5"/>
  <c r="J17" i="6"/>
  <c r="K17" i="6"/>
  <c r="H34" i="4"/>
  <c r="M34" i="4" s="1"/>
  <c r="H17" i="4"/>
  <c r="H26" i="4"/>
  <c r="M26" i="4" s="1"/>
  <c r="H41" i="4"/>
  <c r="M41" i="4" s="1"/>
  <c r="H25" i="4"/>
  <c r="M25" i="4" s="1"/>
  <c r="H40" i="4"/>
  <c r="M40" i="4" s="1"/>
  <c r="H33" i="4"/>
  <c r="M33" i="4" s="1"/>
  <c r="K25" i="8"/>
  <c r="J25" i="8"/>
  <c r="K19" i="6"/>
  <c r="J19" i="6"/>
  <c r="J26" i="5"/>
  <c r="H16" i="8"/>
  <c r="H19" i="8"/>
  <c r="H24" i="8"/>
  <c r="H23" i="8"/>
  <c r="H22" i="8"/>
  <c r="H26" i="6"/>
  <c r="H25" i="6"/>
  <c r="H17" i="6"/>
  <c r="R5" i="11" s="1"/>
  <c r="H40" i="6"/>
  <c r="H41" i="6"/>
  <c r="H34" i="6"/>
  <c r="H33" i="6"/>
  <c r="AD5" i="11"/>
  <c r="AD7" i="11" s="1"/>
  <c r="AL5" i="11"/>
  <c r="I39" i="6"/>
  <c r="J20" i="8"/>
  <c r="J27" i="8" s="1"/>
  <c r="K20" i="8"/>
  <c r="K27" i="8" s="1"/>
  <c r="K20" i="6" l="1"/>
  <c r="I24" i="6"/>
  <c r="J24" i="6" s="1"/>
  <c r="I24" i="7"/>
  <c r="K24" i="7" s="1"/>
  <c r="J23" i="5"/>
  <c r="I32" i="6"/>
  <c r="J32" i="6" s="1"/>
  <c r="J27" i="5"/>
  <c r="J30" i="6"/>
  <c r="K40" i="6"/>
  <c r="K24" i="6"/>
  <c r="K38" i="6"/>
  <c r="J23" i="6"/>
  <c r="J34" i="6"/>
  <c r="K25" i="7"/>
  <c r="J25" i="7"/>
  <c r="K17" i="7"/>
  <c r="J17" i="7"/>
  <c r="K19" i="7"/>
  <c r="J19" i="7"/>
  <c r="K17" i="5"/>
  <c r="J29" i="6"/>
  <c r="AC10" i="11"/>
  <c r="AC23" i="11" s="1"/>
  <c r="AC24" i="11" s="1"/>
  <c r="J16" i="6"/>
  <c r="K16" i="7"/>
  <c r="J16" i="7"/>
  <c r="K22" i="7"/>
  <c r="J22" i="7"/>
  <c r="K23" i="7"/>
  <c r="J23" i="7"/>
  <c r="K20" i="7"/>
  <c r="J20" i="7"/>
  <c r="K26" i="7"/>
  <c r="J26" i="7"/>
  <c r="K24" i="5"/>
  <c r="K26" i="8"/>
  <c r="K22" i="6"/>
  <c r="J25" i="5"/>
  <c r="K41" i="6"/>
  <c r="J26" i="6"/>
  <c r="J31" i="6"/>
  <c r="K25" i="6"/>
  <c r="T24" i="11"/>
  <c r="J33" i="6"/>
  <c r="J37" i="6"/>
  <c r="S24" i="11"/>
  <c r="AM24" i="11"/>
  <c r="J39" i="6"/>
  <c r="K39" i="6"/>
  <c r="AD10" i="11"/>
  <c r="AD23" i="11" s="1"/>
  <c r="AD24" i="11" s="1"/>
  <c r="J27" i="6"/>
  <c r="K27" i="6"/>
  <c r="M17" i="4"/>
  <c r="AB5" i="11"/>
  <c r="R7" i="11"/>
  <c r="R10" i="11"/>
  <c r="R23" i="11" s="1"/>
  <c r="K42" i="6"/>
  <c r="J42" i="6"/>
  <c r="AL7" i="11"/>
  <c r="AL10" i="11"/>
  <c r="AL23" i="11" s="1"/>
  <c r="K35" i="6"/>
  <c r="J35" i="6"/>
  <c r="F12" i="4"/>
  <c r="I36" i="4" s="1"/>
  <c r="E12" i="4"/>
  <c r="C12" i="4"/>
  <c r="B12" i="4"/>
  <c r="F12" i="3"/>
  <c r="I36" i="3" s="1"/>
  <c r="E12" i="3"/>
  <c r="C12" i="3"/>
  <c r="B12" i="3"/>
  <c r="J24" i="7" l="1"/>
  <c r="K32" i="6"/>
  <c r="AL24" i="11"/>
  <c r="R24" i="11"/>
  <c r="I25" i="3"/>
  <c r="I17" i="3"/>
  <c r="I41" i="3"/>
  <c r="I40" i="3"/>
  <c r="I34" i="3"/>
  <c r="I26" i="3"/>
  <c r="I33" i="3"/>
  <c r="K36" i="3"/>
  <c r="J36" i="3"/>
  <c r="I42" i="3"/>
  <c r="I27" i="3"/>
  <c r="I35" i="3"/>
  <c r="AB10" i="11"/>
  <c r="AB23" i="11" s="1"/>
  <c r="AB7" i="11"/>
  <c r="D12" i="3"/>
  <c r="I20" i="3" s="1"/>
  <c r="I30" i="3"/>
  <c r="I22" i="3"/>
  <c r="I29" i="3"/>
  <c r="I19" i="3"/>
  <c r="I39" i="3"/>
  <c r="I16" i="3"/>
  <c r="I38" i="3"/>
  <c r="I23" i="3"/>
  <c r="I37" i="3"/>
  <c r="I31" i="3"/>
  <c r="I23" i="4"/>
  <c r="I22" i="4"/>
  <c r="I16" i="4"/>
  <c r="I31" i="4"/>
  <c r="I19" i="4"/>
  <c r="I39" i="4"/>
  <c r="I38" i="4"/>
  <c r="I29" i="4"/>
  <c r="I30" i="4"/>
  <c r="I37" i="4"/>
  <c r="I34" i="4"/>
  <c r="I17" i="4"/>
  <c r="I33" i="4"/>
  <c r="I26" i="4"/>
  <c r="I41" i="4"/>
  <c r="I25" i="4"/>
  <c r="I40" i="4"/>
  <c r="I35" i="4"/>
  <c r="I27" i="4"/>
  <c r="I42" i="4"/>
  <c r="J36" i="4"/>
  <c r="K36" i="4"/>
  <c r="D12" i="4"/>
  <c r="I20" i="4" s="1"/>
  <c r="I32" i="3" l="1"/>
  <c r="K32" i="3" s="1"/>
  <c r="I32" i="4"/>
  <c r="K32" i="4" s="1"/>
  <c r="I24" i="3"/>
  <c r="K24" i="3" s="1"/>
  <c r="I24" i="4"/>
  <c r="K24" i="4" s="1"/>
  <c r="AB24" i="11"/>
  <c r="J32" i="3"/>
  <c r="K16" i="3"/>
  <c r="J16" i="3"/>
  <c r="K34" i="3"/>
  <c r="J34" i="3"/>
  <c r="K41" i="3"/>
  <c r="J41" i="3"/>
  <c r="K38" i="3"/>
  <c r="J38" i="3"/>
  <c r="K35" i="3"/>
  <c r="J35" i="3"/>
  <c r="K27" i="3"/>
  <c r="J27" i="3"/>
  <c r="K39" i="3"/>
  <c r="J39" i="3"/>
  <c r="K19" i="3"/>
  <c r="J19" i="3"/>
  <c r="J29" i="3"/>
  <c r="K29" i="3"/>
  <c r="J33" i="3"/>
  <c r="K33" i="3"/>
  <c r="K22" i="3"/>
  <c r="J22" i="3"/>
  <c r="K30" i="3"/>
  <c r="J30" i="3"/>
  <c r="K40" i="3"/>
  <c r="J40" i="3"/>
  <c r="K31" i="3"/>
  <c r="J31" i="3"/>
  <c r="K20" i="3"/>
  <c r="J20" i="3"/>
  <c r="K37" i="3"/>
  <c r="J37" i="3"/>
  <c r="K17" i="3"/>
  <c r="J17" i="3"/>
  <c r="J42" i="3"/>
  <c r="K42" i="3"/>
  <c r="K26" i="3"/>
  <c r="J26" i="3"/>
  <c r="K23" i="3"/>
  <c r="J23" i="3"/>
  <c r="K25" i="3"/>
  <c r="J25" i="3"/>
  <c r="K37" i="4"/>
  <c r="J37" i="4"/>
  <c r="J30" i="4"/>
  <c r="K30" i="4"/>
  <c r="K42" i="4"/>
  <c r="J42" i="4"/>
  <c r="K27" i="4"/>
  <c r="J27" i="4"/>
  <c r="K29" i="4"/>
  <c r="J29" i="4"/>
  <c r="K35" i="4"/>
  <c r="J35" i="4"/>
  <c r="K38" i="4"/>
  <c r="J38" i="4"/>
  <c r="K40" i="4"/>
  <c r="J40" i="4"/>
  <c r="K39" i="4"/>
  <c r="J39" i="4"/>
  <c r="J25" i="4"/>
  <c r="K25" i="4"/>
  <c r="J19" i="4"/>
  <c r="K19" i="4"/>
  <c r="K41" i="4"/>
  <c r="J41" i="4"/>
  <c r="K31" i="4"/>
  <c r="J31" i="4"/>
  <c r="K26" i="4"/>
  <c r="J26" i="4"/>
  <c r="J33" i="4"/>
  <c r="K33" i="4"/>
  <c r="J16" i="4"/>
  <c r="K16" i="4"/>
  <c r="K17" i="4"/>
  <c r="J17" i="4"/>
  <c r="K22" i="4"/>
  <c r="J22" i="4"/>
  <c r="J20" i="4"/>
  <c r="K20" i="4"/>
  <c r="K34" i="4"/>
  <c r="J34" i="4"/>
  <c r="J23" i="4"/>
  <c r="K23" i="4"/>
  <c r="K20" i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J13" i="1"/>
  <c r="J14" i="1" s="1"/>
  <c r="J15" i="1" s="1"/>
  <c r="J16" i="1" s="1"/>
  <c r="J17" i="1" s="1"/>
  <c r="J18" i="1" s="1"/>
  <c r="J19" i="1" s="1"/>
  <c r="I10" i="1"/>
  <c r="I11" i="1" s="1"/>
  <c r="I12" i="1" s="1"/>
  <c r="H7" i="1"/>
  <c r="H8" i="1" s="1"/>
  <c r="H9" i="1" s="1"/>
  <c r="G6" i="1"/>
  <c r="F4" i="1"/>
  <c r="L28" i="1" s="1"/>
  <c r="C4" i="1"/>
  <c r="L9" i="1" s="1"/>
  <c r="B4" i="1"/>
  <c r="L8" i="1" s="1"/>
  <c r="E4" i="1"/>
  <c r="L27" i="1" s="1"/>
  <c r="J32" i="4" l="1"/>
  <c r="J24" i="4"/>
  <c r="J24" i="3"/>
  <c r="D4" i="1"/>
  <c r="L12" i="1" s="1"/>
  <c r="L17" i="1"/>
  <c r="L31" i="1"/>
  <c r="L14" i="1"/>
  <c r="L7" i="1"/>
  <c r="L13" i="1"/>
  <c r="L20" i="1"/>
  <c r="L33" i="1"/>
  <c r="L21" i="1"/>
  <c r="L22" i="1"/>
  <c r="L15" i="1"/>
  <c r="L23" i="1"/>
  <c r="L25" i="1"/>
  <c r="L18" i="1"/>
  <c r="L19" i="1"/>
  <c r="L34" i="1"/>
  <c r="L6" i="1"/>
  <c r="L26" i="1"/>
  <c r="L11" i="1"/>
  <c r="L29" i="1"/>
  <c r="L30" i="1"/>
  <c r="L32" i="1"/>
  <c r="L24" i="1" l="1"/>
  <c r="L10" i="1"/>
  <c r="L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Pavelka Lubos</author>
  </authors>
  <commentList>
    <comment ref="I25" authorId="0" shapeId="0" xr:uid="{149CDCCF-73DF-4911-8E4C-5DACD3603D4F}">
      <text>
        <r>
          <rPr>
            <b/>
            <sz val="9"/>
            <color indexed="81"/>
            <rFont val="Tahoma"/>
            <family val="2"/>
            <charset val="238"/>
          </rPr>
          <t>Pavelka Lubos:</t>
        </r>
        <r>
          <rPr>
            <sz val="9"/>
            <color indexed="81"/>
            <rFont val="Tahoma"/>
            <family val="2"/>
            <charset val="238"/>
          </rPr>
          <t xml:space="preserve">
written in contract</t>
        </r>
      </text>
    </comment>
    <comment ref="H28" authorId="0" shapeId="0" xr:uid="{882EC94B-A3DD-416E-AC83-1E6D07CC3804}">
      <text>
        <r>
          <rPr>
            <b/>
            <sz val="9"/>
            <color indexed="81"/>
            <rFont val="Tahoma"/>
            <family val="2"/>
            <charset val="238"/>
          </rPr>
          <t>Pavelka Lubos:</t>
        </r>
        <r>
          <rPr>
            <sz val="9"/>
            <color indexed="81"/>
            <rFont val="Tahoma"/>
            <family val="2"/>
            <charset val="238"/>
          </rPr>
          <t xml:space="preserve">
written in contract</t>
        </r>
      </text>
    </comment>
    <comment ref="I28" authorId="0" shapeId="0" xr:uid="{C7DA5FED-DAC8-4D8D-9EFC-E453FD663216}">
      <text>
        <r>
          <rPr>
            <b/>
            <sz val="9"/>
            <color indexed="81"/>
            <rFont val="Tahoma"/>
            <family val="2"/>
            <charset val="238"/>
          </rPr>
          <t>Pavelka Lubos:</t>
        </r>
        <r>
          <rPr>
            <sz val="9"/>
            <color indexed="81"/>
            <rFont val="Tahoma"/>
            <family val="2"/>
            <charset val="238"/>
          </rPr>
          <t xml:space="preserve">
written in contract</t>
        </r>
      </text>
    </comment>
    <comment ref="I31" authorId="0" shapeId="0" xr:uid="{845A45D3-A54C-461D-98E9-AA8F5EF681E0}">
      <text>
        <r>
          <rPr>
            <b/>
            <sz val="9"/>
            <color indexed="81"/>
            <rFont val="Tahoma"/>
            <family val="2"/>
            <charset val="238"/>
          </rPr>
          <t xml:space="preserve">Pavelka Lubos:
</t>
        </r>
        <r>
          <rPr>
            <sz val="9"/>
            <color indexed="81"/>
            <rFont val="Tahoma"/>
            <family val="2"/>
            <charset val="238"/>
          </rPr>
          <t>separate contract with EC</t>
        </r>
      </text>
    </comment>
    <comment ref="I40" authorId="0" shapeId="0" xr:uid="{F5A1AAA5-5ED7-4B83-927F-84D1DF22AB48}">
      <text>
        <r>
          <rPr>
            <b/>
            <sz val="9"/>
            <color indexed="81"/>
            <rFont val="Tahoma"/>
            <family val="2"/>
            <charset val="238"/>
          </rPr>
          <t xml:space="preserve">Pavelka Lubos:
</t>
        </r>
        <r>
          <rPr>
            <sz val="9"/>
            <color indexed="81"/>
            <rFont val="Tahoma"/>
            <family val="2"/>
            <charset val="238"/>
          </rPr>
          <t>separate contract with EC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Kollarova Pavlina</author>
    <author>Pavelka Lubos</author>
  </authors>
  <commentList>
    <comment ref="B12" authorId="0" shapeId="0" xr:uid="{7D4EC743-F682-4C6B-BF21-94D977B0C904}">
      <text>
        <r>
          <rPr>
            <b/>
            <sz val="9"/>
            <color indexed="81"/>
            <rFont val="Tahoma"/>
            <family val="2"/>
            <charset val="238"/>
          </rPr>
          <t>Kollarova Pavlina:</t>
        </r>
        <r>
          <rPr>
            <sz val="9"/>
            <color indexed="81"/>
            <rFont val="Tahoma"/>
            <family val="2"/>
            <charset val="238"/>
          </rPr>
          <t xml:space="preserve">
4 splatky
</t>
        </r>
      </text>
    </comment>
    <comment ref="B13" authorId="0" shapeId="0" xr:uid="{10BC76C0-FD54-4956-8CFA-FBFF33DC8D93}">
      <text>
        <r>
          <rPr>
            <b/>
            <sz val="9"/>
            <color indexed="81"/>
            <rFont val="Tahoma"/>
            <family val="2"/>
            <charset val="238"/>
          </rPr>
          <t>Kollarova Pavlina:</t>
        </r>
        <r>
          <rPr>
            <sz val="9"/>
            <color indexed="81"/>
            <rFont val="Tahoma"/>
            <family val="2"/>
            <charset val="238"/>
          </rPr>
          <t xml:space="preserve">
4 splatky</t>
        </r>
      </text>
    </comment>
    <comment ref="H30" authorId="1" shapeId="0" xr:uid="{719643D1-C194-4763-879E-141380EF7BA8}">
      <text>
        <r>
          <rPr>
            <b/>
            <sz val="9"/>
            <color indexed="81"/>
            <rFont val="Tahoma"/>
            <family val="2"/>
            <charset val="238"/>
          </rPr>
          <t>Pavelka Lubos:</t>
        </r>
        <r>
          <rPr>
            <sz val="9"/>
            <color indexed="81"/>
            <rFont val="Tahoma"/>
            <family val="2"/>
            <charset val="238"/>
          </rPr>
          <t xml:space="preserve">
aktualne sa pouziva cena 430 RON, co ale nezodpoveda hodnote produktu PLACENTA</t>
        </r>
      </text>
    </comment>
    <comment ref="B36" authorId="0" shapeId="0" xr:uid="{BB005384-3CFA-402F-8535-23CDC31BEAB0}">
      <text>
        <r>
          <rPr>
            <b/>
            <sz val="9"/>
            <color indexed="81"/>
            <rFont val="Tahoma"/>
            <family val="2"/>
            <charset val="238"/>
          </rPr>
          <t>Kollarova Pavlina:</t>
        </r>
        <r>
          <rPr>
            <sz val="9"/>
            <color indexed="81"/>
            <rFont val="Tahoma"/>
            <family val="2"/>
            <charset val="238"/>
          </rPr>
          <t xml:space="preserve">
4 splatky
</t>
        </r>
      </text>
    </comment>
    <comment ref="B37" authorId="0" shapeId="0" xr:uid="{0332DA21-09BF-42D8-A5FB-FE4B8382A635}">
      <text>
        <r>
          <rPr>
            <b/>
            <sz val="9"/>
            <color indexed="81"/>
            <rFont val="Tahoma"/>
            <family val="2"/>
            <charset val="238"/>
          </rPr>
          <t>Kollarova Pavlina:</t>
        </r>
        <r>
          <rPr>
            <sz val="9"/>
            <color indexed="81"/>
            <rFont val="Tahoma"/>
            <family val="2"/>
            <charset val="238"/>
          </rPr>
          <t xml:space="preserve">
4 splatky</t>
        </r>
      </text>
    </comment>
    <comment ref="B59" authorId="0" shapeId="0" xr:uid="{86C2F876-4A15-49BC-AE75-2F22109A2182}">
      <text>
        <r>
          <rPr>
            <b/>
            <sz val="9"/>
            <color indexed="81"/>
            <rFont val="Tahoma"/>
            <family val="2"/>
            <charset val="238"/>
          </rPr>
          <t>Kollarova Pavlina:</t>
        </r>
        <r>
          <rPr>
            <sz val="9"/>
            <color indexed="81"/>
            <rFont val="Tahoma"/>
            <family val="2"/>
            <charset val="238"/>
          </rPr>
          <t xml:space="preserve">
4 splatky
</t>
        </r>
      </text>
    </comment>
    <comment ref="B60" authorId="0" shapeId="0" xr:uid="{84111A27-1F6A-4B23-AB2F-9A6D65CF0D9C}">
      <text>
        <r>
          <rPr>
            <b/>
            <sz val="9"/>
            <color indexed="81"/>
            <rFont val="Tahoma"/>
            <family val="2"/>
            <charset val="238"/>
          </rPr>
          <t>Kollarova Pavlina:</t>
        </r>
        <r>
          <rPr>
            <sz val="9"/>
            <color indexed="81"/>
            <rFont val="Tahoma"/>
            <family val="2"/>
            <charset val="238"/>
          </rPr>
          <t xml:space="preserve">
4 splatky</t>
        </r>
      </text>
    </comment>
    <comment ref="B83" authorId="0" shapeId="0" xr:uid="{80A877B3-654D-4B89-9862-03CCC9DA7366}">
      <text>
        <r>
          <rPr>
            <b/>
            <sz val="9"/>
            <color indexed="81"/>
            <rFont val="Tahoma"/>
            <family val="2"/>
            <charset val="238"/>
          </rPr>
          <t>Kollarova Pavlina:</t>
        </r>
        <r>
          <rPr>
            <sz val="9"/>
            <color indexed="81"/>
            <rFont val="Tahoma"/>
            <family val="2"/>
            <charset val="238"/>
          </rPr>
          <t xml:space="preserve">
4 splatky
</t>
        </r>
      </text>
    </comment>
    <comment ref="B84" authorId="0" shapeId="0" xr:uid="{B3CCB4A9-B8D2-466A-B54F-08379336BB59}">
      <text>
        <r>
          <rPr>
            <b/>
            <sz val="9"/>
            <color indexed="81"/>
            <rFont val="Tahoma"/>
            <family val="2"/>
            <charset val="238"/>
          </rPr>
          <t>Kollarova Pavlina:</t>
        </r>
        <r>
          <rPr>
            <sz val="9"/>
            <color indexed="81"/>
            <rFont val="Tahoma"/>
            <family val="2"/>
            <charset val="238"/>
          </rPr>
          <t xml:space="preserve">
4 splatky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Pavelka Lubos</author>
  </authors>
  <commentList>
    <comment ref="A26" authorId="0" shapeId="0" xr:uid="{87DA7D54-479C-4350-88D8-E1A4A3DD6FB2}">
      <text>
        <r>
          <rPr>
            <b/>
            <sz val="9"/>
            <color indexed="81"/>
            <rFont val="Tahoma"/>
            <family val="2"/>
            <charset val="238"/>
          </rPr>
          <t>Pavelka Lubos:</t>
        </r>
        <r>
          <rPr>
            <sz val="9"/>
            <color indexed="81"/>
            <rFont val="Tahoma"/>
            <family val="2"/>
            <charset val="238"/>
          </rPr>
          <t xml:space="preserve">
pri vlastnych vodicoch su jednotkove naklady signifikantne zavisle od poctu odberov</t>
        </r>
      </text>
    </comment>
    <comment ref="A27" authorId="0" shapeId="0" xr:uid="{FA8F2B0E-684C-4CA3-8C03-63569A762B2A}">
      <text>
        <r>
          <rPr>
            <b/>
            <sz val="9"/>
            <color indexed="81"/>
            <rFont val="Tahoma"/>
            <family val="2"/>
            <charset val="238"/>
          </rPr>
          <t>Pavelka Lubos:</t>
        </r>
        <r>
          <rPr>
            <sz val="9"/>
            <color indexed="81"/>
            <rFont val="Tahoma"/>
            <family val="2"/>
            <charset val="238"/>
          </rPr>
          <t xml:space="preserve">
vratane prestojov, nadcasov, priplatkov, …
(do znacnej miery zavisi od optimalizacie poctu laborantov vzhladom na pocet odberov)</t>
        </r>
      </text>
    </comment>
  </commentList>
</comments>
</file>

<file path=xl/sharedStrings.xml><?xml version="1.0" encoding="utf-8"?>
<sst xmlns="http://schemas.openxmlformats.org/spreadsheetml/2006/main" count="1022" uniqueCount="146">
  <si>
    <t>x</t>
  </si>
  <si>
    <t>PL</t>
  </si>
  <si>
    <t>Classic</t>
  </si>
  <si>
    <t>Premium</t>
  </si>
  <si>
    <t>Classic+T</t>
  </si>
  <si>
    <t>Premium+T</t>
  </si>
  <si>
    <t>Placenta</t>
  </si>
  <si>
    <t>Classic+Tissue</t>
  </si>
  <si>
    <t>Premium+Tissue</t>
  </si>
  <si>
    <t>PLACENTA</t>
  </si>
  <si>
    <t>price</t>
  </si>
  <si>
    <t>VIP</t>
  </si>
  <si>
    <t>Product</t>
  </si>
  <si>
    <t>adjustment</t>
  </si>
  <si>
    <t>PB</t>
  </si>
  <si>
    <t>T (CB)</t>
  </si>
  <si>
    <t>T (PB)</t>
  </si>
  <si>
    <t>PB+T (PB)</t>
  </si>
  <si>
    <t>CB+PL</t>
  </si>
  <si>
    <t>CB+PB+PL</t>
  </si>
  <si>
    <t>CB+T(PB)+PL</t>
  </si>
  <si>
    <t>PB+PL</t>
  </si>
  <si>
    <t>PB+T(PB)+PL</t>
  </si>
  <si>
    <t>T(PB)+PL</t>
  </si>
  <si>
    <t>ALL PRODUCS</t>
  </si>
  <si>
    <t>Failed Collection or Contamination</t>
  </si>
  <si>
    <t>Price</t>
  </si>
  <si>
    <t>Discounted</t>
  </si>
  <si>
    <t>* collection CB &lt;20ml = discount 500 EUR</t>
  </si>
  <si>
    <t>CB*</t>
  </si>
  <si>
    <t>COLLECTION</t>
  </si>
  <si>
    <t>1 YEAR STORAGE</t>
  </si>
  <si>
    <t>Price - collection</t>
  </si>
  <si>
    <t>Price - storage</t>
  </si>
  <si>
    <t>Cl.+Tissue</t>
  </si>
  <si>
    <t>PR.+Tissue</t>
  </si>
  <si>
    <t>SLOVAKIA</t>
  </si>
  <si>
    <t>PRICE LIST
(from 1.1.2025)</t>
  </si>
  <si>
    <t>10 YEAR STORAGE</t>
  </si>
  <si>
    <t>20 YEAR STORAGE</t>
  </si>
  <si>
    <t>CZECHIA</t>
  </si>
  <si>
    <t>5 YEAR STORAGE</t>
  </si>
  <si>
    <t>10% discount</t>
  </si>
  <si>
    <t>15% discount</t>
  </si>
  <si>
    <t>25% discount</t>
  </si>
  <si>
    <t>pupocnikova krv</t>
  </si>
  <si>
    <t>placentarna krv</t>
  </si>
  <si>
    <t>tkanivo pupocnika</t>
  </si>
  <si>
    <t>tkanivo placenty</t>
  </si>
  <si>
    <t>SK</t>
  </si>
  <si>
    <t>* collection CB &lt;20ml = discount 400 EUR</t>
  </si>
  <si>
    <t>Collection</t>
  </si>
  <si>
    <t>1 Year storage</t>
  </si>
  <si>
    <t>5 Years storage</t>
  </si>
  <si>
    <t>10 Years storage</t>
  </si>
  <si>
    <t>20 Years storage</t>
  </si>
  <si>
    <t>HUNGARY</t>
  </si>
  <si>
    <t>cord blood</t>
  </si>
  <si>
    <t>placental blood</t>
  </si>
  <si>
    <t>cord tissue</t>
  </si>
  <si>
    <t>placenta</t>
  </si>
  <si>
    <t>ROMANIA</t>
  </si>
  <si>
    <t>plati v pripade jednotnej zmluvy CBC AG na odber krv aj tkanivo</t>
  </si>
  <si>
    <t>40% discount</t>
  </si>
  <si>
    <t>50% discount</t>
  </si>
  <si>
    <t>aktualne sa pouzivaju dve zmluvy: samostatne pre krv (CBC AG) a samostatne pre tkanivo (EC v hodnote 240 000 HUF)</t>
  </si>
  <si>
    <t>aktualne sa pouzivanju zlavy 10 rocne skladne 40% a 20 rocne skladne 50% (standard CBC GROUP je 15% a 25%)</t>
  </si>
  <si>
    <t>5% discount</t>
  </si>
  <si>
    <t>AUSTRIA</t>
  </si>
  <si>
    <t>various % discount</t>
  </si>
  <si>
    <t>absolutne nelogicke ceny a percentualne zlavy pri viacrocnom skladnom</t>
  </si>
  <si>
    <t>Years</t>
  </si>
  <si>
    <t>ST</t>
  </si>
  <si>
    <t>PR</t>
  </si>
  <si>
    <t>ST+TK</t>
  </si>
  <si>
    <t>PR+TK</t>
  </si>
  <si>
    <t>PL1</t>
  </si>
  <si>
    <t>Tkanivo placenty</t>
  </si>
  <si>
    <t>Tkanivo pupocnika</t>
  </si>
  <si>
    <t>Inflation rate 2024</t>
  </si>
  <si>
    <t>FX rate</t>
  </si>
  <si>
    <t>RO</t>
  </si>
  <si>
    <t>HU</t>
  </si>
  <si>
    <t>HU  splatky</t>
  </si>
  <si>
    <t>CZ</t>
  </si>
  <si>
    <t>AT</t>
  </si>
  <si>
    <t>AT, IT: the annual rate of inflation is to be taken into account for an annual increase by more than 5%</t>
  </si>
  <si>
    <t>IT</t>
  </si>
  <si>
    <t>Instalments</t>
  </si>
  <si>
    <t>Instalment increase</t>
  </si>
  <si>
    <t>New   prices - local CCY - 2025</t>
  </si>
  <si>
    <t>New  prices - EUR - 2025</t>
  </si>
  <si>
    <t>Current   prices - 2024</t>
  </si>
  <si>
    <t>PB+T</t>
  </si>
  <si>
    <t>* collection CB &lt;20ml = discount 160 000 HUF</t>
  </si>
  <si>
    <t>ITALY</t>
  </si>
  <si>
    <t>CB</t>
  </si>
  <si>
    <t>CB + PB</t>
  </si>
  <si>
    <t>CB + T (CB)</t>
  </si>
  <si>
    <t>CB + PB + T (PB)</t>
  </si>
  <si>
    <t>ITA</t>
  </si>
  <si>
    <t>CB+T</t>
  </si>
  <si>
    <t>PB+T+P</t>
  </si>
  <si>
    <t>Gross revenue - new prices</t>
  </si>
  <si>
    <t>discount (free collection/broker)</t>
  </si>
  <si>
    <t>Net revenue - client price</t>
  </si>
  <si>
    <t>Net revenue - CBC</t>
  </si>
  <si>
    <t>Production cost - collection kit</t>
  </si>
  <si>
    <t>Production cost - material</t>
  </si>
  <si>
    <t>Production cost - examination</t>
  </si>
  <si>
    <t>Total Production cost</t>
  </si>
  <si>
    <t>Third party - hospitals</t>
  </si>
  <si>
    <t>Third party - collection</t>
  </si>
  <si>
    <t>Third party - recruiting</t>
  </si>
  <si>
    <t>Third party - other</t>
  </si>
  <si>
    <t>Total Third party cost</t>
  </si>
  <si>
    <t>Gross Margin</t>
  </si>
  <si>
    <t>%</t>
  </si>
  <si>
    <t>logistika</t>
  </si>
  <si>
    <t>pausal</t>
  </si>
  <si>
    <t>vodici</t>
  </si>
  <si>
    <t>externe</t>
  </si>
  <si>
    <t>cena prace laborant priemer na produkt</t>
  </si>
  <si>
    <t>odmena broker/REP/CC (15% z net revenue)</t>
  </si>
  <si>
    <t>TOTAL COST</t>
  </si>
  <si>
    <t>T</t>
  </si>
  <si>
    <t>ALL</t>
  </si>
  <si>
    <t>FLAAT FEE</t>
  </si>
  <si>
    <t>PB*</t>
  </si>
  <si>
    <t>* collection of blood (CB+PB) &lt;20ml = discount 400 EUR</t>
  </si>
  <si>
    <t>*** storage fee depend on REAL stored product (independent from volume or contamination)</t>
  </si>
  <si>
    <t>* collection of blood (CB+PB) &lt;20ml = discount 10 000 CZK</t>
  </si>
  <si>
    <t>v zmluve je aktualne uvedena cena za odber samostatneho tkaniva 1200 EUR</t>
  </si>
  <si>
    <t>price for collection is written in contract in value 8 000 RON</t>
  </si>
  <si>
    <t>price for collection is written in contract in value 3 000 RON</t>
  </si>
  <si>
    <t>** CONTAMINATION = discount 100% from collection fee for contaminated item</t>
  </si>
  <si>
    <t>in EUR</t>
  </si>
  <si>
    <t>stare ceny, nereflektuju aktualnu cenovu politiku CBC GROUP</t>
  </si>
  <si>
    <t>* collection of blood (CB+PB) &lt;20ml = discount 2000 RON</t>
  </si>
  <si>
    <t>Price for Tissue and Placenta ONLY till contract will be changed</t>
  </si>
  <si>
    <t>Cena za samostatne tkanivo popocnika kym nedojde k zmenev zmluve</t>
  </si>
  <si>
    <t>Inflation rate 2025</t>
  </si>
  <si>
    <t>Current basic prices - PY - 2025</t>
  </si>
  <si>
    <t>Prices after inflation rate impact - local CCY - 2026</t>
  </si>
  <si>
    <t>Prices after inflation rate impact - local CCY - rounding - 2026</t>
  </si>
  <si>
    <t>Prices after inflation rate impact and rounding - EUR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</si>
</sst>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0\ &quot;€&quot;_-;\-* #,##0.00\ &quot;€&quot;_-;_-* &quot;-&quot;??\ &quot;€&quot;_-;_-@_-"/>
    <numFmt numFmtId="165" formatCode="0.000"/>
    <numFmt numFmtId="166" formatCode="_-* #,##0.00\ [$RON]_-;\-* #,##0.00\ [$RON]_-;_-* &quot;-&quot;??\ [$RON]_-;_-@_-"/>
    <numFmt numFmtId="167" formatCode="_-* #,##0.00\ [$Ft-40E]_-;\-* #,##0.00\ [$Ft-40E]_-;_-* &quot;-&quot;??\ [$Ft-40E]_-;_-@_-"/>
    <numFmt numFmtId="168" formatCode="_-* #,##0.00\ [$Kč-405]_-;\-* #,##0.00\ [$Kč-405]_-;_-* &quot;-&quot;??\ [$Kč-405]_-;_-@_-"/>
    <numFmt numFmtId="169" formatCode="#,##0.00_ ;\-#,##0.00\ "/>
    <numFmt numFmtId="170" formatCode="_-* #,##0\ &quot;€&quot;_-;\-* #,##0\ &quot;€&quot;_-;_-* &quot;-&quot;??\ &quot;€&quot;_-;_-@_-"/>
    <numFmt numFmtId="171" formatCode="#,##0_ ;\-#,##0\ "/>
    <numFmt numFmtId="172" formatCode="#,##0\ [$RON];\-#,##0\ [$RON]"/>
    <numFmt numFmtId="173" formatCode="_-* #,##0\ [$RON]_-;\-* #,##0\ [$RON]_-;_-* &quot;-&quot;??\ [$RON]_-;_-@_-"/>
    <numFmt numFmtId="174" formatCode="#,##0\ &quot;€&quot;"/>
  </numFmts>
  <fonts count="4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1"/>
      <color rgb="FF0070C0"/>
      <name val="Aptos Narrow"/>
      <family val="2"/>
      <charset val="238"/>
      <scheme val="minor"/>
    </font>
    <font>
      <b/>
      <sz val="11"/>
      <color theme="0" tint="-0.249977111117893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FF0000"/>
      <name val="Aptos Narrow"/>
      <family val="2"/>
      <charset val="238"/>
      <scheme val="minor"/>
    </font>
    <font>
      <i/>
      <sz val="10"/>
      <color theme="1"/>
      <name val="Aptos Narrow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 tint="-0.249977111117893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i/>
      <sz val="11"/>
      <color rgb="FFFF000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u/>
      <sz val="11"/>
      <name val="Calibri"/>
      <family val="2"/>
      <charset val="238"/>
    </font>
    <font>
      <b/>
      <sz val="11"/>
      <color rgb="FFFF0000"/>
      <name val="Aptos Narrow"/>
      <family val="2"/>
      <charset val="238"/>
      <scheme val="minor"/>
    </font>
    <font>
      <sz val="11"/>
      <color rgb="FF00B05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i/>
      <sz val="11"/>
      <color rgb="FF0070C0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i/>
      <sz val="8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11"/>
      <color theme="2" tint="-0.249977111117893"/>
      <name val="Aptos Narrow"/>
      <family val="2"/>
      <scheme val="minor"/>
    </font>
    <font>
      <b/>
      <sz val="11"/>
      <color theme="2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5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/>
    <xf numFmtId="0" fontId="3" fillId="0" borderId="0" xfId="0" applyFont="1"/>
    <xf numFmtId="0" fontId="6" fillId="0" borderId="0" xfId="0" applyFont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2" xfId="0" applyFont="1" applyBorder="1"/>
    <xf numFmtId="0" fontId="3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1" xfId="0" applyFont="1" applyFill="1" applyBorder="1"/>
    <xf numFmtId="0" fontId="3" fillId="2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1" xfId="0" applyFont="1" applyBorder="1" applyAlignment="1">
      <alignment horizontal="center"/>
    </xf>
    <xf numFmtId="3" fontId="7" fillId="0" borderId="1" xfId="0" applyNumberFormat="1" applyFont="1" applyBorder="1"/>
    <xf numFmtId="3" fontId="3" fillId="2" borderId="1" xfId="0" applyNumberFormat="1" applyFont="1" applyFill="1" applyBorder="1"/>
    <xf numFmtId="3" fontId="6" fillId="0" borderId="1" xfId="0" applyNumberFormat="1" applyFont="1" applyBorder="1"/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2" fontId="0" fillId="0" borderId="0" xfId="0" applyNumberFormat="1"/>
    <xf numFmtId="4" fontId="3" fillId="2" borderId="1" xfId="0" applyNumberFormat="1" applyFont="1" applyFill="1" applyBorder="1"/>
    <xf numFmtId="4" fontId="6" fillId="0" borderId="1" xfId="0" applyNumberFormat="1" applyFont="1" applyBorder="1"/>
    <xf numFmtId="0" fontId="10" fillId="0" borderId="3" xfId="0" applyFont="1" applyBorder="1" applyAlignment="1">
      <alignment horizontal="right"/>
    </xf>
    <xf numFmtId="0" fontId="8" fillId="0" borderId="3" xfId="0" applyFont="1" applyBorder="1" applyAlignment="1">
      <alignment horizontal="center"/>
    </xf>
    <xf numFmtId="0" fontId="3" fillId="0" borderId="4" xfId="0" applyFont="1" applyBorder="1"/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4" xfId="0" applyFont="1" applyBorder="1" applyAlignment="1">
      <alignment horizontal="center"/>
    </xf>
    <xf numFmtId="3" fontId="7" fillId="0" borderId="4" xfId="0" applyNumberFormat="1" applyFont="1" applyBorder="1"/>
    <xf numFmtId="4" fontId="0" fillId="0" borderId="0" xfId="0" applyNumberFormat="1"/>
    <xf numFmtId="0" fontId="11" fillId="0" borderId="2" xfId="0" applyFont="1" applyBorder="1"/>
    <xf numFmtId="3" fontId="0" fillId="0" borderId="0" xfId="0" applyNumberFormat="1"/>
    <xf numFmtId="9" fontId="0" fillId="0" borderId="0" xfId="2" applyFont="1" applyFill="1"/>
    <xf numFmtId="0" fontId="12" fillId="0" borderId="0" xfId="0" applyFont="1"/>
    <xf numFmtId="9" fontId="0" fillId="0" borderId="0" xfId="2" applyFont="1"/>
    <xf numFmtId="0" fontId="8" fillId="3" borderId="1" xfId="0" applyFont="1" applyFill="1" applyBorder="1" applyAlignment="1">
      <alignment horizontal="center"/>
    </xf>
    <xf numFmtId="0" fontId="13" fillId="0" borderId="1" xfId="0" applyFont="1" applyBorder="1"/>
    <xf numFmtId="3" fontId="14" fillId="0" borderId="1" xfId="0" applyNumberFormat="1" applyFont="1" applyBorder="1"/>
    <xf numFmtId="0" fontId="13" fillId="2" borderId="1" xfId="0" applyFont="1" applyFill="1" applyBorder="1"/>
    <xf numFmtId="3" fontId="13" fillId="2" borderId="1" xfId="0" applyNumberFormat="1" applyFont="1" applyFill="1" applyBorder="1"/>
    <xf numFmtId="0" fontId="14" fillId="0" borderId="1" xfId="0" applyFont="1" applyBorder="1"/>
    <xf numFmtId="2" fontId="10" fillId="0" borderId="3" xfId="0" applyNumberFormat="1" applyFont="1" applyBorder="1" applyAlignment="1">
      <alignment horizontal="center"/>
    </xf>
    <xf numFmtId="0" fontId="15" fillId="4" borderId="11" xfId="0" applyFont="1" applyFill="1" applyBorder="1" applyAlignment="1" applyProtection="1">
      <alignment horizontal="center" wrapText="1"/>
      <protection locked="0"/>
    </xf>
    <xf numFmtId="0" fontId="15" fillId="4" borderId="13" xfId="0" applyFont="1" applyFill="1" applyBorder="1" applyAlignment="1" applyProtection="1">
      <alignment wrapText="1"/>
      <protection locked="0"/>
    </xf>
    <xf numFmtId="0" fontId="15" fillId="4" borderId="0" xfId="0" applyFont="1" applyFill="1" applyAlignment="1" applyProtection="1">
      <alignment horizontal="center" wrapText="1"/>
      <protection locked="0"/>
    </xf>
    <xf numFmtId="0" fontId="15" fillId="4" borderId="14" xfId="0" applyFont="1" applyFill="1" applyBorder="1" applyAlignment="1" applyProtection="1">
      <alignment horizontal="center" wrapText="1"/>
      <protection locked="0"/>
    </xf>
    <xf numFmtId="0" fontId="15" fillId="4" borderId="7" xfId="0" applyFont="1" applyFill="1" applyBorder="1" applyAlignment="1" applyProtection="1">
      <alignment horizontal="center" wrapText="1"/>
      <protection locked="0"/>
    </xf>
    <xf numFmtId="164" fontId="6" fillId="2" borderId="11" xfId="1" applyFont="1" applyFill="1" applyBorder="1" applyAlignment="1" applyProtection="1">
      <alignment wrapText="1"/>
      <protection locked="0"/>
    </xf>
    <xf numFmtId="164" fontId="6" fillId="2" borderId="0" xfId="1" applyFont="1" applyFill="1" applyBorder="1" applyAlignment="1" applyProtection="1">
      <alignment wrapText="1"/>
      <protection locked="0"/>
    </xf>
    <xf numFmtId="164" fontId="6" fillId="2" borderId="14" xfId="1" applyFont="1" applyFill="1" applyBorder="1" applyAlignment="1" applyProtection="1">
      <alignment wrapText="1"/>
      <protection locked="0"/>
    </xf>
    <xf numFmtId="166" fontId="6" fillId="2" borderId="11" xfId="0" applyNumberFormat="1" applyFont="1" applyFill="1" applyBorder="1" applyAlignment="1" applyProtection="1">
      <alignment wrapText="1"/>
      <protection locked="0"/>
    </xf>
    <xf numFmtId="166" fontId="6" fillId="2" borderId="0" xfId="0" applyNumberFormat="1" applyFont="1" applyFill="1" applyAlignment="1" applyProtection="1">
      <alignment wrapText="1"/>
      <protection locked="0"/>
    </xf>
    <xf numFmtId="166" fontId="6" fillId="2" borderId="14" xfId="0" applyNumberFormat="1" applyFont="1" applyFill="1" applyBorder="1" applyAlignment="1" applyProtection="1">
      <alignment wrapText="1"/>
      <protection locked="0"/>
    </xf>
    <xf numFmtId="167" fontId="6" fillId="2" borderId="11" xfId="0" applyNumberFormat="1" applyFont="1" applyFill="1" applyBorder="1" applyAlignment="1" applyProtection="1">
      <alignment wrapText="1"/>
      <protection locked="0"/>
    </xf>
    <xf numFmtId="167" fontId="6" fillId="2" borderId="0" xfId="0" applyNumberFormat="1" applyFont="1" applyFill="1" applyAlignment="1" applyProtection="1">
      <alignment wrapText="1"/>
      <protection locked="0"/>
    </xf>
    <xf numFmtId="0" fontId="15" fillId="4" borderId="6" xfId="0" applyFont="1" applyFill="1" applyBorder="1" applyAlignment="1" applyProtection="1">
      <alignment horizontal="center" wrapText="1"/>
      <protection locked="0"/>
    </xf>
    <xf numFmtId="167" fontId="6" fillId="2" borderId="6" xfId="0" applyNumberFormat="1" applyFont="1" applyFill="1" applyBorder="1" applyAlignment="1" applyProtection="1">
      <alignment wrapText="1"/>
      <protection locked="0"/>
    </xf>
    <xf numFmtId="0" fontId="15" fillId="4" borderId="0" xfId="0" applyFont="1" applyFill="1" applyAlignment="1">
      <alignment horizontal="center" wrapText="1"/>
    </xf>
    <xf numFmtId="0" fontId="15" fillId="4" borderId="14" xfId="0" applyFont="1" applyFill="1" applyBorder="1" applyAlignment="1">
      <alignment horizontal="center" wrapText="1"/>
    </xf>
    <xf numFmtId="168" fontId="6" fillId="2" borderId="11" xfId="0" applyNumberFormat="1" applyFont="1" applyFill="1" applyBorder="1" applyAlignment="1" applyProtection="1">
      <alignment wrapText="1"/>
      <protection locked="0"/>
    </xf>
    <xf numFmtId="168" fontId="6" fillId="2" borderId="0" xfId="0" applyNumberFormat="1" applyFont="1" applyFill="1" applyAlignment="1" applyProtection="1">
      <alignment wrapText="1"/>
      <protection locked="0"/>
    </xf>
    <xf numFmtId="168" fontId="6" fillId="2" borderId="14" xfId="0" applyNumberFormat="1" applyFont="1" applyFill="1" applyBorder="1" applyAlignment="1" applyProtection="1">
      <alignment wrapText="1"/>
      <protection locked="0"/>
    </xf>
    <xf numFmtId="168" fontId="9" fillId="2" borderId="14" xfId="0" applyNumberFormat="1" applyFont="1" applyFill="1" applyBorder="1" applyAlignment="1" applyProtection="1">
      <alignment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wrapText="1"/>
      <protection locked="0"/>
    </xf>
    <xf numFmtId="168" fontId="6" fillId="0" borderId="0" xfId="0" applyNumberFormat="1" applyFont="1" applyAlignment="1" applyProtection="1">
      <alignment wrapText="1"/>
      <protection locked="0"/>
    </xf>
    <xf numFmtId="168" fontId="9" fillId="0" borderId="0" xfId="0" applyNumberFormat="1" applyFont="1" applyAlignment="1" applyProtection="1">
      <alignment wrapText="1"/>
      <protection locked="0"/>
    </xf>
    <xf numFmtId="10" fontId="6" fillId="0" borderId="0" xfId="2" applyNumberFormat="1" applyFont="1" applyFill="1" applyBorder="1" applyAlignment="1" applyProtection="1">
      <alignment wrapText="1"/>
      <protection locked="0"/>
    </xf>
    <xf numFmtId="165" fontId="6" fillId="0" borderId="0" xfId="0" applyNumberFormat="1" applyFont="1" applyProtection="1">
      <protection locked="0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15" fillId="4" borderId="10" xfId="0" applyFont="1" applyFill="1" applyBorder="1" applyAlignment="1">
      <alignment horizontal="center" wrapText="1"/>
    </xf>
    <xf numFmtId="0" fontId="15" fillId="4" borderId="11" xfId="0" applyFont="1" applyFill="1" applyBorder="1" applyAlignment="1">
      <alignment horizontal="center" wrapText="1"/>
    </xf>
    <xf numFmtId="0" fontId="15" fillId="4" borderId="12" xfId="0" applyFont="1" applyFill="1" applyBorder="1" applyAlignment="1">
      <alignment horizontal="center" wrapText="1"/>
    </xf>
    <xf numFmtId="0" fontId="15" fillId="4" borderId="16" xfId="0" applyFont="1" applyFill="1" applyBorder="1" applyAlignment="1">
      <alignment wrapText="1"/>
    </xf>
    <xf numFmtId="164" fontId="6" fillId="0" borderId="11" xfId="1" applyFont="1" applyFill="1" applyBorder="1" applyAlignment="1" applyProtection="1">
      <alignment wrapText="1"/>
    </xf>
    <xf numFmtId="164" fontId="6" fillId="0" borderId="12" xfId="1" applyFont="1" applyFill="1" applyBorder="1" applyAlignment="1" applyProtection="1">
      <alignment wrapText="1"/>
    </xf>
    <xf numFmtId="164" fontId="6" fillId="0" borderId="0" xfId="1" applyFont="1" applyFill="1" applyBorder="1" applyAlignment="1" applyProtection="1">
      <alignment wrapText="1"/>
    </xf>
    <xf numFmtId="164" fontId="6" fillId="0" borderId="15" xfId="1" applyFont="1" applyFill="1" applyBorder="1" applyAlignment="1" applyProtection="1">
      <alignment wrapText="1"/>
    </xf>
    <xf numFmtId="164" fontId="6" fillId="0" borderId="14" xfId="1" applyFont="1" applyFill="1" applyBorder="1" applyAlignment="1" applyProtection="1">
      <alignment wrapText="1"/>
    </xf>
    <xf numFmtId="164" fontId="6" fillId="0" borderId="7" xfId="1" applyFont="1" applyFill="1" applyBorder="1" applyAlignment="1" applyProtection="1">
      <alignment wrapText="1"/>
    </xf>
    <xf numFmtId="166" fontId="6" fillId="0" borderId="11" xfId="0" applyNumberFormat="1" applyFont="1" applyBorder="1" applyAlignment="1">
      <alignment wrapText="1"/>
    </xf>
    <xf numFmtId="166" fontId="6" fillId="0" borderId="12" xfId="0" applyNumberFormat="1" applyFont="1" applyBorder="1" applyAlignment="1">
      <alignment wrapText="1"/>
    </xf>
    <xf numFmtId="166" fontId="6" fillId="0" borderId="0" xfId="0" applyNumberFormat="1" applyFont="1" applyAlignment="1">
      <alignment wrapText="1"/>
    </xf>
    <xf numFmtId="166" fontId="6" fillId="0" borderId="15" xfId="0" applyNumberFormat="1" applyFont="1" applyBorder="1" applyAlignment="1">
      <alignment wrapText="1"/>
    </xf>
    <xf numFmtId="166" fontId="6" fillId="0" borderId="14" xfId="0" applyNumberFormat="1" applyFont="1" applyBorder="1" applyAlignment="1">
      <alignment wrapText="1"/>
    </xf>
    <xf numFmtId="166" fontId="6" fillId="0" borderId="7" xfId="0" applyNumberFormat="1" applyFont="1" applyBorder="1" applyAlignment="1">
      <alignment wrapText="1"/>
    </xf>
    <xf numFmtId="167" fontId="6" fillId="0" borderId="11" xfId="0" applyNumberFormat="1" applyFont="1" applyBorder="1" applyAlignment="1">
      <alignment wrapText="1"/>
    </xf>
    <xf numFmtId="167" fontId="6" fillId="0" borderId="12" xfId="0" applyNumberFormat="1" applyFont="1" applyBorder="1" applyAlignment="1">
      <alignment wrapText="1"/>
    </xf>
    <xf numFmtId="167" fontId="6" fillId="0" borderId="0" xfId="0" applyNumberFormat="1" applyFont="1" applyAlignment="1">
      <alignment wrapText="1"/>
    </xf>
    <xf numFmtId="167" fontId="6" fillId="0" borderId="15" xfId="0" applyNumberFormat="1" applyFont="1" applyBorder="1" applyAlignment="1">
      <alignment wrapText="1"/>
    </xf>
    <xf numFmtId="0" fontId="15" fillId="4" borderId="6" xfId="0" applyFont="1" applyFill="1" applyBorder="1" applyAlignment="1">
      <alignment horizontal="center" wrapText="1"/>
    </xf>
    <xf numFmtId="167" fontId="6" fillId="0" borderId="6" xfId="0" applyNumberFormat="1" applyFont="1" applyBorder="1" applyAlignment="1">
      <alignment wrapText="1"/>
    </xf>
    <xf numFmtId="167" fontId="6" fillId="0" borderId="18" xfId="0" applyNumberFormat="1" applyFont="1" applyBorder="1" applyAlignment="1">
      <alignment wrapText="1"/>
    </xf>
    <xf numFmtId="167" fontId="6" fillId="0" borderId="14" xfId="0" applyNumberFormat="1" applyFont="1" applyBorder="1" applyAlignment="1">
      <alignment wrapText="1"/>
    </xf>
    <xf numFmtId="168" fontId="6" fillId="0" borderId="0" xfId="0" applyNumberFormat="1" applyFont="1" applyAlignment="1">
      <alignment wrapText="1"/>
    </xf>
    <xf numFmtId="168" fontId="6" fillId="0" borderId="12" xfId="0" applyNumberFormat="1" applyFont="1" applyBorder="1" applyAlignment="1">
      <alignment wrapText="1"/>
    </xf>
    <xf numFmtId="0" fontId="17" fillId="0" borderId="0" xfId="0" applyFont="1"/>
    <xf numFmtId="168" fontId="6" fillId="0" borderId="15" xfId="0" applyNumberFormat="1" applyFont="1" applyBorder="1" applyAlignment="1">
      <alignment wrapText="1"/>
    </xf>
    <xf numFmtId="168" fontId="6" fillId="0" borderId="14" xfId="0" applyNumberFormat="1" applyFont="1" applyBorder="1" applyAlignment="1">
      <alignment wrapText="1"/>
    </xf>
    <xf numFmtId="168" fontId="6" fillId="0" borderId="7" xfId="0" applyNumberFormat="1" applyFont="1" applyBorder="1" applyAlignment="1">
      <alignment wrapText="1"/>
    </xf>
    <xf numFmtId="0" fontId="15" fillId="4" borderId="5" xfId="0" applyFont="1" applyFill="1" applyBorder="1" applyAlignment="1">
      <alignment horizontal="center" wrapText="1"/>
    </xf>
    <xf numFmtId="164" fontId="6" fillId="0" borderId="5" xfId="1" applyFont="1" applyFill="1" applyBorder="1" applyAlignment="1" applyProtection="1">
      <alignment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169" fontId="6" fillId="0" borderId="11" xfId="1" applyNumberFormat="1" applyFont="1" applyFill="1" applyBorder="1" applyAlignment="1" applyProtection="1">
      <alignment wrapText="1"/>
    </xf>
    <xf numFmtId="169" fontId="6" fillId="0" borderId="12" xfId="1" applyNumberFormat="1" applyFont="1" applyFill="1" applyBorder="1" applyAlignment="1" applyProtection="1">
      <alignment wrapText="1"/>
    </xf>
    <xf numFmtId="0" fontId="3" fillId="0" borderId="0" xfId="0" applyFont="1" applyAlignment="1">
      <alignment horizontal="center" wrapText="1"/>
    </xf>
    <xf numFmtId="169" fontId="6" fillId="0" borderId="0" xfId="1" applyNumberFormat="1" applyFont="1" applyFill="1" applyBorder="1" applyAlignment="1" applyProtection="1">
      <alignment wrapText="1"/>
    </xf>
    <xf numFmtId="169" fontId="6" fillId="0" borderId="15" xfId="1" applyNumberFormat="1" applyFont="1" applyFill="1" applyBorder="1" applyAlignment="1" applyProtection="1">
      <alignment wrapText="1"/>
    </xf>
    <xf numFmtId="0" fontId="3" fillId="0" borderId="14" xfId="0" applyFont="1" applyBorder="1" applyAlignment="1">
      <alignment horizontal="center" wrapText="1"/>
    </xf>
    <xf numFmtId="169" fontId="6" fillId="0" borderId="14" xfId="1" applyNumberFormat="1" applyFont="1" applyFill="1" applyBorder="1" applyAlignment="1" applyProtection="1">
      <alignment wrapText="1"/>
    </xf>
    <xf numFmtId="169" fontId="6" fillId="0" borderId="7" xfId="1" applyNumberFormat="1" applyFont="1" applyFill="1" applyBorder="1" applyAlignment="1" applyProtection="1">
      <alignment wrapText="1"/>
    </xf>
    <xf numFmtId="0" fontId="3" fillId="0" borderId="6" xfId="0" applyFont="1" applyBorder="1" applyAlignment="1">
      <alignment horizontal="center" wrapText="1"/>
    </xf>
    <xf numFmtId="169" fontId="6" fillId="0" borderId="6" xfId="1" applyNumberFormat="1" applyFont="1" applyFill="1" applyBorder="1" applyAlignment="1" applyProtection="1">
      <alignment wrapText="1"/>
    </xf>
    <xf numFmtId="169" fontId="6" fillId="0" borderId="18" xfId="1" applyNumberFormat="1" applyFont="1" applyFill="1" applyBorder="1" applyAlignment="1" applyProtection="1">
      <alignment wrapText="1"/>
    </xf>
    <xf numFmtId="0" fontId="8" fillId="0" borderId="0" xfId="0" applyFont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164" fontId="0" fillId="0" borderId="0" xfId="0" applyNumberFormat="1"/>
    <xf numFmtId="166" fontId="0" fillId="0" borderId="0" xfId="0" applyNumberFormat="1"/>
    <xf numFmtId="0" fontId="20" fillId="4" borderId="11" xfId="0" applyFont="1" applyFill="1" applyBorder="1" applyAlignment="1" applyProtection="1">
      <alignment horizontal="center" wrapText="1"/>
      <protection locked="0"/>
    </xf>
    <xf numFmtId="0" fontId="20" fillId="4" borderId="13" xfId="0" applyFont="1" applyFill="1" applyBorder="1" applyAlignment="1" applyProtection="1">
      <alignment wrapText="1"/>
      <protection locked="0"/>
    </xf>
    <xf numFmtId="0" fontId="20" fillId="4" borderId="0" xfId="0" applyFont="1" applyFill="1" applyAlignment="1" applyProtection="1">
      <alignment horizontal="center" wrapText="1"/>
      <protection locked="0"/>
    </xf>
    <xf numFmtId="0" fontId="20" fillId="4" borderId="14" xfId="0" applyFont="1" applyFill="1" applyBorder="1" applyAlignment="1" applyProtection="1">
      <alignment horizontal="center" wrapText="1"/>
      <protection locked="0"/>
    </xf>
    <xf numFmtId="0" fontId="20" fillId="4" borderId="7" xfId="0" applyFont="1" applyFill="1" applyBorder="1" applyAlignment="1" applyProtection="1">
      <alignment horizontal="center" wrapText="1"/>
      <protection locked="0"/>
    </xf>
    <xf numFmtId="164" fontId="21" fillId="2" borderId="11" xfId="1" applyFont="1" applyFill="1" applyBorder="1" applyAlignment="1" applyProtection="1">
      <alignment wrapText="1"/>
      <protection locked="0"/>
    </xf>
    <xf numFmtId="10" fontId="21" fillId="2" borderId="11" xfId="2" applyNumberFormat="1" applyFont="1" applyFill="1" applyBorder="1" applyAlignment="1" applyProtection="1">
      <alignment wrapText="1"/>
      <protection locked="0"/>
    </xf>
    <xf numFmtId="165" fontId="21" fillId="2" borderId="15" xfId="0" applyNumberFormat="1" applyFont="1" applyFill="1" applyBorder="1" applyProtection="1">
      <protection locked="0"/>
    </xf>
    <xf numFmtId="164" fontId="21" fillId="2" borderId="0" xfId="1" applyFont="1" applyFill="1" applyBorder="1" applyAlignment="1" applyProtection="1">
      <alignment wrapText="1"/>
      <protection locked="0"/>
    </xf>
    <xf numFmtId="10" fontId="21" fillId="2" borderId="0" xfId="2" applyNumberFormat="1" applyFont="1" applyFill="1" applyBorder="1" applyAlignment="1" applyProtection="1">
      <alignment wrapText="1"/>
      <protection locked="0"/>
    </xf>
    <xf numFmtId="0" fontId="20" fillId="4" borderId="6" xfId="0" applyFont="1" applyFill="1" applyBorder="1" applyAlignment="1" applyProtection="1">
      <alignment horizontal="center" wrapText="1"/>
      <protection locked="0"/>
    </xf>
    <xf numFmtId="164" fontId="21" fillId="2" borderId="6" xfId="1" applyFont="1" applyFill="1" applyBorder="1" applyAlignment="1" applyProtection="1">
      <alignment wrapText="1"/>
      <protection locked="0"/>
    </xf>
    <xf numFmtId="10" fontId="21" fillId="2" borderId="6" xfId="2" applyNumberFormat="1" applyFont="1" applyFill="1" applyBorder="1" applyAlignment="1" applyProtection="1">
      <alignment wrapText="1"/>
      <protection locked="0"/>
    </xf>
    <xf numFmtId="165" fontId="21" fillId="2" borderId="18" xfId="0" applyNumberFormat="1" applyFont="1" applyFill="1" applyBorder="1" applyProtection="1">
      <protection locked="0"/>
    </xf>
    <xf numFmtId="0" fontId="20" fillId="4" borderId="5" xfId="0" applyFont="1" applyFill="1" applyBorder="1" applyAlignment="1" applyProtection="1">
      <alignment horizontal="center" wrapText="1"/>
      <protection locked="0"/>
    </xf>
    <xf numFmtId="166" fontId="21" fillId="2" borderId="5" xfId="0" applyNumberFormat="1" applyFont="1" applyFill="1" applyBorder="1" applyAlignment="1" applyProtection="1">
      <alignment wrapText="1"/>
      <protection locked="0"/>
    </xf>
    <xf numFmtId="10" fontId="21" fillId="2" borderId="5" xfId="2" applyNumberFormat="1" applyFont="1" applyFill="1" applyBorder="1" applyAlignment="1" applyProtection="1">
      <alignment wrapText="1"/>
      <protection locked="0"/>
    </xf>
    <xf numFmtId="166" fontId="21" fillId="2" borderId="0" xfId="0" applyNumberFormat="1" applyFont="1" applyFill="1" applyAlignment="1" applyProtection="1">
      <alignment wrapText="1"/>
      <protection locked="0"/>
    </xf>
    <xf numFmtId="166" fontId="21" fillId="2" borderId="6" xfId="0" applyNumberFormat="1" applyFont="1" applyFill="1" applyBorder="1" applyAlignment="1" applyProtection="1">
      <alignment wrapText="1"/>
      <protection locked="0"/>
    </xf>
    <xf numFmtId="167" fontId="21" fillId="2" borderId="5" xfId="0" applyNumberFormat="1" applyFont="1" applyFill="1" applyBorder="1" applyAlignment="1" applyProtection="1">
      <alignment wrapText="1"/>
      <protection locked="0"/>
    </xf>
    <xf numFmtId="167" fontId="21" fillId="2" borderId="0" xfId="0" applyNumberFormat="1" applyFont="1" applyFill="1" applyAlignment="1" applyProtection="1">
      <alignment wrapText="1"/>
      <protection locked="0"/>
    </xf>
    <xf numFmtId="167" fontId="21" fillId="2" borderId="6" xfId="0" applyNumberFormat="1" applyFont="1" applyFill="1" applyBorder="1" applyAlignment="1" applyProtection="1">
      <alignment wrapText="1"/>
      <protection locked="0"/>
    </xf>
    <xf numFmtId="168" fontId="21" fillId="2" borderId="0" xfId="0" applyNumberFormat="1" applyFont="1" applyFill="1" applyAlignment="1" applyProtection="1">
      <alignment wrapText="1"/>
      <protection locked="0"/>
    </xf>
    <xf numFmtId="168" fontId="21" fillId="2" borderId="14" xfId="0" applyNumberFormat="1" applyFont="1" applyFill="1" applyBorder="1" applyAlignment="1" applyProtection="1">
      <alignment wrapText="1"/>
      <protection locked="0"/>
    </xf>
    <xf numFmtId="168" fontId="22" fillId="2" borderId="14" xfId="0" applyNumberFormat="1" applyFont="1" applyFill="1" applyBorder="1" applyAlignment="1" applyProtection="1">
      <alignment wrapText="1"/>
      <protection locked="0"/>
    </xf>
    <xf numFmtId="10" fontId="21" fillId="2" borderId="14" xfId="2" applyNumberFormat="1" applyFont="1" applyFill="1" applyBorder="1" applyAlignment="1" applyProtection="1">
      <alignment wrapText="1"/>
      <protection locked="0"/>
    </xf>
    <xf numFmtId="165" fontId="21" fillId="2" borderId="7" xfId="0" applyNumberFormat="1" applyFont="1" applyFill="1" applyBorder="1" applyProtection="1">
      <protection locked="0"/>
    </xf>
    <xf numFmtId="164" fontId="21" fillId="2" borderId="14" xfId="1" applyFont="1" applyFill="1" applyBorder="1" applyAlignment="1" applyProtection="1">
      <alignment wrapText="1"/>
      <protection locked="0"/>
    </xf>
    <xf numFmtId="0" fontId="23" fillId="0" borderId="0" xfId="0" applyFont="1"/>
    <xf numFmtId="0" fontId="24" fillId="4" borderId="16" xfId="0" applyFont="1" applyFill="1" applyBorder="1" applyAlignment="1">
      <alignment wrapText="1"/>
    </xf>
    <xf numFmtId="0" fontId="15" fillId="4" borderId="7" xfId="0" applyFont="1" applyFill="1" applyBorder="1" applyAlignment="1">
      <alignment horizontal="center" wrapText="1"/>
    </xf>
    <xf numFmtId="0" fontId="8" fillId="0" borderId="11" xfId="0" applyFont="1" applyBorder="1" applyAlignment="1" applyProtection="1">
      <alignment horizontal="center" wrapText="1"/>
      <protection locked="0"/>
    </xf>
    <xf numFmtId="0" fontId="0" fillId="0" borderId="22" xfId="0" applyBorder="1"/>
    <xf numFmtId="0" fontId="8" fillId="0" borderId="0" xfId="0" applyFont="1" applyAlignment="1" applyProtection="1">
      <alignment horizontal="center" wrapText="1"/>
      <protection locked="0"/>
    </xf>
    <xf numFmtId="9" fontId="0" fillId="0" borderId="22" xfId="2" applyFont="1" applyBorder="1"/>
    <xf numFmtId="0" fontId="8" fillId="0" borderId="6" xfId="0" applyFont="1" applyBorder="1" applyAlignment="1" applyProtection="1">
      <alignment horizontal="center" wrapText="1"/>
      <protection locked="0"/>
    </xf>
    <xf numFmtId="9" fontId="0" fillId="0" borderId="23" xfId="2" applyFont="1" applyBorder="1"/>
    <xf numFmtId="0" fontId="8" fillId="0" borderId="5" xfId="0" applyFont="1" applyBorder="1" applyAlignment="1" applyProtection="1">
      <alignment horizontal="center" wrapText="1"/>
      <protection locked="0"/>
    </xf>
    <xf numFmtId="0" fontId="0" fillId="0" borderId="24" xfId="0" applyBorder="1"/>
    <xf numFmtId="0" fontId="8" fillId="0" borderId="14" xfId="0" applyFont="1" applyBorder="1" applyAlignment="1" applyProtection="1">
      <alignment horizontal="center" wrapText="1"/>
      <protection locked="0"/>
    </xf>
    <xf numFmtId="0" fontId="0" fillId="0" borderId="21" xfId="0" applyBorder="1"/>
    <xf numFmtId="0" fontId="3" fillId="0" borderId="5" xfId="0" applyFont="1" applyBorder="1" applyAlignment="1">
      <alignment horizontal="center" wrapText="1"/>
    </xf>
    <xf numFmtId="0" fontId="15" fillId="4" borderId="16" xfId="0" applyFont="1" applyFill="1" applyBorder="1" applyAlignment="1" applyProtection="1">
      <alignment horizontal="center" wrapText="1"/>
      <protection locked="0"/>
    </xf>
    <xf numFmtId="170" fontId="6" fillId="0" borderId="11" xfId="1" applyNumberFormat="1" applyFont="1" applyFill="1" applyBorder="1" applyAlignment="1" applyProtection="1">
      <alignment wrapText="1"/>
    </xf>
    <xf numFmtId="170" fontId="6" fillId="0" borderId="12" xfId="1" applyNumberFormat="1" applyFont="1" applyFill="1" applyBorder="1" applyAlignment="1" applyProtection="1">
      <alignment wrapText="1"/>
    </xf>
    <xf numFmtId="170" fontId="6" fillId="0" borderId="0" xfId="1" applyNumberFormat="1" applyFont="1" applyFill="1" applyBorder="1" applyAlignment="1" applyProtection="1">
      <alignment wrapText="1"/>
    </xf>
    <xf numFmtId="170" fontId="6" fillId="0" borderId="15" xfId="1" applyNumberFormat="1" applyFont="1" applyFill="1" applyBorder="1" applyAlignment="1" applyProtection="1">
      <alignment wrapText="1"/>
    </xf>
    <xf numFmtId="170" fontId="6" fillId="0" borderId="14" xfId="1" applyNumberFormat="1" applyFont="1" applyFill="1" applyBorder="1" applyAlignment="1" applyProtection="1">
      <alignment wrapText="1"/>
    </xf>
    <xf numFmtId="170" fontId="6" fillId="0" borderId="7" xfId="1" applyNumberFormat="1" applyFont="1" applyFill="1" applyBorder="1" applyAlignment="1" applyProtection="1">
      <alignment wrapText="1"/>
    </xf>
    <xf numFmtId="171" fontId="6" fillId="0" borderId="11" xfId="1" applyNumberFormat="1" applyFont="1" applyFill="1" applyBorder="1" applyAlignment="1" applyProtection="1">
      <alignment wrapText="1"/>
    </xf>
    <xf numFmtId="171" fontId="6" fillId="0" borderId="12" xfId="1" applyNumberFormat="1" applyFont="1" applyFill="1" applyBorder="1" applyAlignment="1" applyProtection="1">
      <alignment wrapText="1"/>
    </xf>
    <xf numFmtId="171" fontId="6" fillId="0" borderId="0" xfId="1" applyNumberFormat="1" applyFont="1" applyFill="1" applyBorder="1" applyAlignment="1" applyProtection="1">
      <alignment wrapText="1"/>
    </xf>
    <xf numFmtId="171" fontId="6" fillId="0" borderId="15" xfId="1" applyNumberFormat="1" applyFont="1" applyFill="1" applyBorder="1" applyAlignment="1" applyProtection="1">
      <alignment wrapText="1"/>
    </xf>
    <xf numFmtId="171" fontId="6" fillId="0" borderId="5" xfId="1" applyNumberFormat="1" applyFont="1" applyFill="1" applyBorder="1" applyAlignment="1" applyProtection="1">
      <alignment wrapText="1"/>
    </xf>
    <xf numFmtId="171" fontId="6" fillId="0" borderId="19" xfId="1" applyNumberFormat="1" applyFont="1" applyFill="1" applyBorder="1" applyAlignment="1" applyProtection="1">
      <alignment wrapText="1"/>
    </xf>
    <xf numFmtId="171" fontId="6" fillId="0" borderId="6" xfId="1" applyNumberFormat="1" applyFont="1" applyFill="1" applyBorder="1" applyAlignment="1" applyProtection="1">
      <alignment wrapText="1"/>
    </xf>
    <xf numFmtId="171" fontId="6" fillId="0" borderId="18" xfId="1" applyNumberFormat="1" applyFont="1" applyFill="1" applyBorder="1" applyAlignment="1" applyProtection="1">
      <alignment wrapText="1"/>
    </xf>
    <xf numFmtId="171" fontId="6" fillId="0" borderId="14" xfId="1" applyNumberFormat="1" applyFont="1" applyFill="1" applyBorder="1" applyAlignment="1" applyProtection="1">
      <alignment wrapText="1"/>
    </xf>
    <xf numFmtId="171" fontId="6" fillId="0" borderId="7" xfId="1" applyNumberFormat="1" applyFont="1" applyFill="1" applyBorder="1" applyAlignment="1" applyProtection="1">
      <alignment wrapText="1"/>
    </xf>
    <xf numFmtId="172" fontId="6" fillId="0" borderId="5" xfId="0" applyNumberFormat="1" applyFont="1" applyBorder="1" applyAlignment="1">
      <alignment wrapText="1"/>
    </xf>
    <xf numFmtId="172" fontId="6" fillId="0" borderId="0" xfId="0" applyNumberFormat="1" applyFont="1" applyAlignment="1">
      <alignment wrapText="1"/>
    </xf>
    <xf numFmtId="172" fontId="6" fillId="0" borderId="15" xfId="0" applyNumberFormat="1" applyFont="1" applyBorder="1" applyAlignment="1">
      <alignment wrapText="1"/>
    </xf>
    <xf numFmtId="172" fontId="6" fillId="0" borderId="6" xfId="0" applyNumberFormat="1" applyFont="1" applyBorder="1" applyAlignment="1">
      <alignment wrapText="1"/>
    </xf>
    <xf numFmtId="172" fontId="6" fillId="0" borderId="18" xfId="0" applyNumberFormat="1" applyFont="1" applyBorder="1" applyAlignment="1">
      <alignment wrapText="1"/>
    </xf>
    <xf numFmtId="171" fontId="6" fillId="0" borderId="10" xfId="1" applyNumberFormat="1" applyFont="1" applyFill="1" applyBorder="1" applyAlignment="1" applyProtection="1">
      <alignment wrapText="1"/>
    </xf>
    <xf numFmtId="171" fontId="6" fillId="0" borderId="13" xfId="1" applyNumberFormat="1" applyFont="1" applyFill="1" applyBorder="1" applyAlignment="1" applyProtection="1">
      <alignment wrapText="1"/>
    </xf>
    <xf numFmtId="171" fontId="6" fillId="0" borderId="20" xfId="1" applyNumberFormat="1" applyFont="1" applyFill="1" applyBorder="1" applyAlignment="1" applyProtection="1">
      <alignment wrapText="1"/>
    </xf>
    <xf numFmtId="171" fontId="6" fillId="0" borderId="17" xfId="1" applyNumberFormat="1" applyFont="1" applyFill="1" applyBorder="1" applyAlignment="1" applyProtection="1">
      <alignment wrapText="1"/>
    </xf>
    <xf numFmtId="171" fontId="6" fillId="0" borderId="16" xfId="1" applyNumberFormat="1" applyFont="1" applyFill="1" applyBorder="1" applyAlignment="1" applyProtection="1">
      <alignment wrapText="1"/>
    </xf>
    <xf numFmtId="170" fontId="0" fillId="0" borderId="0" xfId="0" applyNumberFormat="1"/>
    <xf numFmtId="170" fontId="6" fillId="0" borderId="10" xfId="1" applyNumberFormat="1" applyFont="1" applyFill="1" applyBorder="1" applyAlignment="1" applyProtection="1">
      <alignment wrapText="1"/>
    </xf>
    <xf numFmtId="170" fontId="6" fillId="0" borderId="13" xfId="1" applyNumberFormat="1" applyFont="1" applyFill="1" applyBorder="1" applyAlignment="1" applyProtection="1">
      <alignment wrapText="1"/>
    </xf>
    <xf numFmtId="172" fontId="6" fillId="0" borderId="13" xfId="0" applyNumberFormat="1" applyFont="1" applyBorder="1" applyAlignment="1">
      <alignment wrapText="1"/>
    </xf>
    <xf numFmtId="172" fontId="6" fillId="0" borderId="17" xfId="0" applyNumberFormat="1" applyFont="1" applyBorder="1" applyAlignment="1">
      <alignment wrapText="1"/>
    </xf>
    <xf numFmtId="167" fontId="6" fillId="0" borderId="10" xfId="0" applyNumberFormat="1" applyFont="1" applyBorder="1" applyAlignment="1">
      <alignment wrapText="1"/>
    </xf>
    <xf numFmtId="167" fontId="6" fillId="0" borderId="13" xfId="0" applyNumberFormat="1" applyFont="1" applyBorder="1" applyAlignment="1">
      <alignment wrapText="1"/>
    </xf>
    <xf numFmtId="167" fontId="6" fillId="0" borderId="17" xfId="0" applyNumberFormat="1" applyFont="1" applyBorder="1" applyAlignment="1">
      <alignment wrapText="1"/>
    </xf>
    <xf numFmtId="168" fontId="6" fillId="0" borderId="10" xfId="0" applyNumberFormat="1" applyFont="1" applyBorder="1" applyAlignment="1">
      <alignment wrapText="1"/>
    </xf>
    <xf numFmtId="168" fontId="6" fillId="0" borderId="13" xfId="0" applyNumberFormat="1" applyFont="1" applyBorder="1" applyAlignment="1">
      <alignment wrapText="1"/>
    </xf>
    <xf numFmtId="168" fontId="6" fillId="0" borderId="16" xfId="0" applyNumberFormat="1" applyFont="1" applyBorder="1" applyAlignment="1">
      <alignment wrapText="1"/>
    </xf>
    <xf numFmtId="170" fontId="6" fillId="0" borderId="16" xfId="1" applyNumberFormat="1" applyFont="1" applyFill="1" applyBorder="1" applyAlignment="1" applyProtection="1">
      <alignment wrapText="1"/>
    </xf>
    <xf numFmtId="173" fontId="6" fillId="0" borderId="11" xfId="0" applyNumberFormat="1" applyFont="1" applyBorder="1" applyAlignment="1">
      <alignment wrapText="1"/>
    </xf>
    <xf numFmtId="173" fontId="6" fillId="0" borderId="0" xfId="0" applyNumberFormat="1" applyFont="1" applyAlignment="1">
      <alignment wrapText="1"/>
    </xf>
    <xf numFmtId="173" fontId="6" fillId="0" borderId="14" xfId="0" applyNumberFormat="1" applyFont="1" applyBorder="1" applyAlignment="1">
      <alignment wrapText="1"/>
    </xf>
    <xf numFmtId="167" fontId="6" fillId="0" borderId="0" xfId="0" applyNumberFormat="1" applyFont="1"/>
    <xf numFmtId="164" fontId="7" fillId="0" borderId="0" xfId="0" applyNumberFormat="1" applyFont="1" applyAlignment="1">
      <alignment wrapText="1"/>
    </xf>
    <xf numFmtId="170" fontId="7" fillId="0" borderId="12" xfId="1" applyNumberFormat="1" applyFont="1" applyFill="1" applyBorder="1" applyAlignment="1" applyProtection="1">
      <alignment wrapText="1"/>
    </xf>
    <xf numFmtId="172" fontId="7" fillId="0" borderId="19" xfId="0" applyNumberFormat="1" applyFont="1" applyBorder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9" fontId="7" fillId="0" borderId="0" xfId="0" applyNumberFormat="1" applyFont="1" applyAlignment="1">
      <alignment wrapText="1"/>
    </xf>
    <xf numFmtId="0" fontId="0" fillId="0" borderId="0" xfId="0" applyAlignment="1">
      <alignment horizontal="left"/>
    </xf>
    <xf numFmtId="166" fontId="6" fillId="0" borderId="0" xfId="0" applyNumberFormat="1" applyFont="1"/>
    <xf numFmtId="167" fontId="7" fillId="0" borderId="12" xfId="0" applyNumberFormat="1" applyFont="1" applyBorder="1" applyAlignment="1">
      <alignment wrapText="1"/>
    </xf>
    <xf numFmtId="0" fontId="27" fillId="0" borderId="0" xfId="0" applyFont="1"/>
    <xf numFmtId="3" fontId="27" fillId="0" borderId="0" xfId="0" applyNumberFormat="1" applyFont="1"/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3" fontId="29" fillId="0" borderId="1" xfId="0" applyNumberFormat="1" applyFont="1" applyBorder="1" applyAlignment="1">
      <alignment horizontal="center"/>
    </xf>
    <xf numFmtId="4" fontId="5" fillId="0" borderId="1" xfId="0" applyNumberFormat="1" applyFont="1" applyBorder="1"/>
    <xf numFmtId="4" fontId="30" fillId="0" borderId="3" xfId="0" applyNumberFormat="1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3" fontId="30" fillId="0" borderId="3" xfId="0" applyNumberFormat="1" applyFont="1" applyBorder="1" applyAlignment="1">
      <alignment horizontal="center"/>
    </xf>
    <xf numFmtId="2" fontId="30" fillId="0" borderId="3" xfId="0" applyNumberFormat="1" applyFont="1" applyBorder="1" applyAlignment="1">
      <alignment horizontal="center"/>
    </xf>
    <xf numFmtId="1" fontId="0" fillId="0" borderId="0" xfId="0" applyNumberFormat="1"/>
    <xf numFmtId="1" fontId="31" fillId="0" borderId="13" xfId="0" applyNumberFormat="1" applyFont="1" applyBorder="1" applyAlignment="1">
      <alignment horizontal="center"/>
    </xf>
    <xf numFmtId="1" fontId="31" fillId="0" borderId="0" xfId="0" applyNumberFormat="1" applyFont="1" applyAlignment="1">
      <alignment horizontal="center"/>
    </xf>
    <xf numFmtId="1" fontId="31" fillId="0" borderId="15" xfId="0" applyNumberFormat="1" applyFont="1" applyBorder="1" applyAlignment="1">
      <alignment horizontal="center"/>
    </xf>
    <xf numFmtId="0" fontId="32" fillId="0" borderId="0" xfId="0" applyFont="1"/>
    <xf numFmtId="1" fontId="32" fillId="0" borderId="0" xfId="0" applyNumberFormat="1" applyFont="1"/>
    <xf numFmtId="0" fontId="33" fillId="0" borderId="0" xfId="0" applyFont="1"/>
    <xf numFmtId="3" fontId="33" fillId="0" borderId="13" xfId="0" applyNumberFormat="1" applyFont="1" applyBorder="1"/>
    <xf numFmtId="3" fontId="33" fillId="0" borderId="0" xfId="0" applyNumberFormat="1" applyFont="1"/>
    <xf numFmtId="3" fontId="33" fillId="0" borderId="15" xfId="0" applyNumberFormat="1" applyFont="1" applyBorder="1"/>
    <xf numFmtId="1" fontId="33" fillId="0" borderId="0" xfId="0" applyNumberFormat="1" applyFont="1"/>
    <xf numFmtId="0" fontId="34" fillId="0" borderId="0" xfId="0" applyFont="1"/>
    <xf numFmtId="3" fontId="34" fillId="0" borderId="13" xfId="0" applyNumberFormat="1" applyFont="1" applyBorder="1"/>
    <xf numFmtId="3" fontId="34" fillId="0" borderId="0" xfId="0" applyNumberFormat="1" applyFont="1"/>
    <xf numFmtId="3" fontId="34" fillId="0" borderId="15" xfId="0" applyNumberFormat="1" applyFont="1" applyBorder="1"/>
    <xf numFmtId="9" fontId="34" fillId="0" borderId="0" xfId="2" applyFont="1"/>
    <xf numFmtId="0" fontId="28" fillId="0" borderId="0" xfId="0" applyFont="1"/>
    <xf numFmtId="3" fontId="28" fillId="0" borderId="16" xfId="0" applyNumberFormat="1" applyFont="1" applyBorder="1"/>
    <xf numFmtId="3" fontId="28" fillId="0" borderId="14" xfId="0" applyNumberFormat="1" applyFont="1" applyBorder="1"/>
    <xf numFmtId="3" fontId="28" fillId="0" borderId="7" xfId="0" applyNumberFormat="1" applyFont="1" applyBorder="1"/>
    <xf numFmtId="1" fontId="28" fillId="0" borderId="0" xfId="0" applyNumberFormat="1" applyFont="1"/>
    <xf numFmtId="0" fontId="35" fillId="0" borderId="0" xfId="0" applyFont="1"/>
    <xf numFmtId="3" fontId="35" fillId="0" borderId="11" xfId="0" applyNumberFormat="1" applyFont="1" applyBorder="1"/>
    <xf numFmtId="1" fontId="35" fillId="0" borderId="0" xfId="0" applyNumberFormat="1" applyFont="1"/>
    <xf numFmtId="3" fontId="32" fillId="0" borderId="0" xfId="0" applyNumberFormat="1" applyFont="1"/>
    <xf numFmtId="1" fontId="34" fillId="0" borderId="25" xfId="0" applyNumberFormat="1" applyFont="1" applyBorder="1"/>
    <xf numFmtId="1" fontId="34" fillId="0" borderId="5" xfId="0" applyNumberFormat="1" applyFont="1" applyBorder="1"/>
    <xf numFmtId="1" fontId="34" fillId="0" borderId="26" xfId="0" applyNumberFormat="1" applyFont="1" applyBorder="1"/>
    <xf numFmtId="1" fontId="28" fillId="0" borderId="27" xfId="0" applyNumberFormat="1" applyFont="1" applyBorder="1"/>
    <xf numFmtId="1" fontId="28" fillId="0" borderId="28" xfId="0" applyNumberFormat="1" applyFont="1" applyBorder="1"/>
    <xf numFmtId="0" fontId="0" fillId="0" borderId="27" xfId="0" applyBorder="1"/>
    <xf numFmtId="0" fontId="0" fillId="0" borderId="28" xfId="0" applyBorder="1"/>
    <xf numFmtId="1" fontId="0" fillId="0" borderId="27" xfId="0" applyNumberFormat="1" applyBorder="1"/>
    <xf numFmtId="1" fontId="0" fillId="0" borderId="28" xfId="0" applyNumberFormat="1" applyBorder="1"/>
    <xf numFmtId="1" fontId="34" fillId="0" borderId="27" xfId="0" applyNumberFormat="1" applyFont="1" applyBorder="1"/>
    <xf numFmtId="1" fontId="34" fillId="0" borderId="0" xfId="0" applyNumberFormat="1" applyFont="1"/>
    <xf numFmtId="1" fontId="34" fillId="0" borderId="28" xfId="0" applyNumberFormat="1" applyFont="1" applyBorder="1"/>
    <xf numFmtId="0" fontId="36" fillId="0" borderId="0" xfId="0" applyFont="1"/>
    <xf numFmtId="1" fontId="36" fillId="0" borderId="29" xfId="0" applyNumberFormat="1" applyFont="1" applyBorder="1"/>
    <xf numFmtId="1" fontId="36" fillId="0" borderId="6" xfId="0" applyNumberFormat="1" applyFont="1" applyBorder="1"/>
    <xf numFmtId="1" fontId="36" fillId="0" borderId="30" xfId="0" applyNumberFormat="1" applyFont="1" applyBorder="1"/>
    <xf numFmtId="1" fontId="36" fillId="0" borderId="0" xfId="0" applyNumberFormat="1" applyFont="1"/>
    <xf numFmtId="1" fontId="28" fillId="0" borderId="11" xfId="0" applyNumberFormat="1" applyFont="1" applyBorder="1"/>
    <xf numFmtId="9" fontId="37" fillId="0" borderId="16" xfId="2" applyFont="1" applyFill="1" applyBorder="1"/>
    <xf numFmtId="9" fontId="37" fillId="0" borderId="14" xfId="2" applyFont="1" applyFill="1" applyBorder="1"/>
    <xf numFmtId="9" fontId="37" fillId="0" borderId="7" xfId="2" applyFont="1" applyFill="1" applyBorder="1"/>
    <xf numFmtId="3" fontId="28" fillId="0" borderId="0" xfId="0" applyNumberFormat="1" applyFont="1"/>
    <xf numFmtId="1" fontId="0" fillId="0" borderId="0" xfId="0" applyNumberFormat="1" applyAlignment="1">
      <alignment horizontal="center"/>
    </xf>
    <xf numFmtId="3" fontId="28" fillId="0" borderId="10" xfId="0" applyNumberFormat="1" applyFont="1" applyBorder="1"/>
    <xf numFmtId="3" fontId="28" fillId="0" borderId="11" xfId="0" applyNumberFormat="1" applyFont="1" applyBorder="1"/>
    <xf numFmtId="3" fontId="28" fillId="0" borderId="12" xfId="0" applyNumberFormat="1" applyFont="1" applyBorder="1"/>
    <xf numFmtId="3" fontId="6" fillId="0" borderId="0" xfId="0" applyNumberFormat="1" applyFont="1"/>
    <xf numFmtId="172" fontId="7" fillId="0" borderId="20" xfId="0" applyNumberFormat="1" applyFont="1" applyBorder="1" applyAlignment="1">
      <alignment wrapText="1"/>
    </xf>
    <xf numFmtId="164" fontId="9" fillId="0" borderId="11" xfId="1" applyFont="1" applyFill="1" applyBorder="1" applyAlignment="1" applyProtection="1">
      <alignment wrapText="1"/>
    </xf>
    <xf numFmtId="164" fontId="9" fillId="0" borderId="0" xfId="1" applyFont="1" applyFill="1" applyBorder="1" applyAlignment="1" applyProtection="1">
      <alignment wrapText="1"/>
    </xf>
    <xf numFmtId="164" fontId="9" fillId="0" borderId="14" xfId="1" applyFont="1" applyFill="1" applyBorder="1" applyAlignment="1" applyProtection="1">
      <alignment wrapText="1"/>
    </xf>
    <xf numFmtId="166" fontId="9" fillId="0" borderId="11" xfId="0" applyNumberFormat="1" applyFont="1" applyBorder="1" applyAlignment="1">
      <alignment wrapText="1"/>
    </xf>
    <xf numFmtId="166" fontId="9" fillId="0" borderId="0" xfId="0" applyNumberFormat="1" applyFont="1" applyAlignment="1">
      <alignment wrapText="1"/>
    </xf>
    <xf numFmtId="166" fontId="9" fillId="0" borderId="14" xfId="0" applyNumberFormat="1" applyFont="1" applyBorder="1" applyAlignment="1">
      <alignment wrapText="1"/>
    </xf>
    <xf numFmtId="168" fontId="9" fillId="0" borderId="11" xfId="0" applyNumberFormat="1" applyFont="1" applyBorder="1" applyAlignment="1">
      <alignment wrapText="1"/>
    </xf>
    <xf numFmtId="168" fontId="9" fillId="0" borderId="0" xfId="0" applyNumberFormat="1" applyFont="1" applyAlignment="1">
      <alignment wrapText="1"/>
    </xf>
    <xf numFmtId="168" fontId="9" fillId="0" borderId="14" xfId="0" applyNumberFormat="1" applyFont="1" applyBorder="1" applyAlignment="1">
      <alignment wrapText="1"/>
    </xf>
    <xf numFmtId="168" fontId="9" fillId="0" borderId="12" xfId="0" applyNumberFormat="1" applyFont="1" applyBorder="1" applyAlignment="1">
      <alignment wrapText="1"/>
    </xf>
    <xf numFmtId="168" fontId="9" fillId="0" borderId="15" xfId="0" applyNumberFormat="1" applyFont="1" applyBorder="1" applyAlignment="1">
      <alignment wrapText="1"/>
    </xf>
    <xf numFmtId="168" fontId="9" fillId="0" borderId="7" xfId="0" applyNumberFormat="1" applyFont="1" applyBorder="1" applyAlignment="1">
      <alignment wrapText="1"/>
    </xf>
    <xf numFmtId="164" fontId="9" fillId="0" borderId="12" xfId="1" applyFont="1" applyFill="1" applyBorder="1" applyAlignment="1" applyProtection="1">
      <alignment wrapText="1"/>
    </xf>
    <xf numFmtId="164" fontId="9" fillId="0" borderId="15" xfId="1" applyFont="1" applyFill="1" applyBorder="1" applyAlignment="1" applyProtection="1">
      <alignment wrapText="1"/>
    </xf>
    <xf numFmtId="164" fontId="9" fillId="0" borderId="7" xfId="1" applyFont="1" applyFill="1" applyBorder="1" applyAlignment="1" applyProtection="1">
      <alignment wrapText="1"/>
    </xf>
    <xf numFmtId="173" fontId="9" fillId="0" borderId="11" xfId="0" applyNumberFormat="1" applyFont="1" applyBorder="1" applyAlignment="1">
      <alignment wrapText="1"/>
    </xf>
    <xf numFmtId="173" fontId="9" fillId="0" borderId="12" xfId="0" applyNumberFormat="1" applyFont="1" applyBorder="1" applyAlignment="1">
      <alignment wrapText="1"/>
    </xf>
    <xf numFmtId="173" fontId="9" fillId="0" borderId="0" xfId="0" applyNumberFormat="1" applyFont="1" applyAlignment="1">
      <alignment wrapText="1"/>
    </xf>
    <xf numFmtId="173" fontId="9" fillId="0" borderId="15" xfId="0" applyNumberFormat="1" applyFont="1" applyBorder="1" applyAlignment="1">
      <alignment wrapText="1"/>
    </xf>
    <xf numFmtId="173" fontId="9" fillId="0" borderId="14" xfId="0" applyNumberFormat="1" applyFont="1" applyBorder="1" applyAlignment="1">
      <alignment wrapText="1"/>
    </xf>
    <xf numFmtId="173" fontId="9" fillId="0" borderId="7" xfId="0" applyNumberFormat="1" applyFont="1" applyBorder="1" applyAlignment="1">
      <alignment wrapText="1"/>
    </xf>
    <xf numFmtId="167" fontId="9" fillId="0" borderId="11" xfId="0" applyNumberFormat="1" applyFont="1" applyBorder="1" applyAlignment="1">
      <alignment wrapText="1"/>
    </xf>
    <xf numFmtId="167" fontId="9" fillId="0" borderId="12" xfId="0" applyNumberFormat="1" applyFont="1" applyBorder="1" applyAlignment="1">
      <alignment wrapText="1"/>
    </xf>
    <xf numFmtId="167" fontId="9" fillId="0" borderId="0" xfId="0" applyNumberFormat="1" applyFont="1" applyAlignment="1">
      <alignment wrapText="1"/>
    </xf>
    <xf numFmtId="167" fontId="9" fillId="0" borderId="15" xfId="0" applyNumberFormat="1" applyFont="1" applyBorder="1" applyAlignment="1">
      <alignment wrapText="1"/>
    </xf>
    <xf numFmtId="167" fontId="9" fillId="0" borderId="6" xfId="0" applyNumberFormat="1" applyFont="1" applyBorder="1" applyAlignment="1">
      <alignment wrapText="1"/>
    </xf>
    <xf numFmtId="167" fontId="9" fillId="0" borderId="18" xfId="0" applyNumberFormat="1" applyFont="1" applyBorder="1" applyAlignment="1">
      <alignment wrapText="1"/>
    </xf>
    <xf numFmtId="167" fontId="9" fillId="0" borderId="5" xfId="0" applyNumberFormat="1" applyFont="1" applyBorder="1" applyAlignment="1">
      <alignment wrapText="1"/>
    </xf>
    <xf numFmtId="167" fontId="9" fillId="0" borderId="19" xfId="0" applyNumberFormat="1" applyFont="1" applyBorder="1" applyAlignment="1">
      <alignment wrapText="1"/>
    </xf>
    <xf numFmtId="167" fontId="9" fillId="0" borderId="14" xfId="0" applyNumberFormat="1" applyFont="1" applyBorder="1" applyAlignment="1">
      <alignment wrapText="1"/>
    </xf>
    <xf numFmtId="167" fontId="9" fillId="0" borderId="7" xfId="0" applyNumberFormat="1" applyFont="1" applyBorder="1" applyAlignment="1">
      <alignment wrapText="1"/>
    </xf>
    <xf numFmtId="164" fontId="9" fillId="0" borderId="5" xfId="1" applyFont="1" applyFill="1" applyBorder="1" applyAlignment="1" applyProtection="1">
      <alignment wrapText="1"/>
    </xf>
    <xf numFmtId="3" fontId="7" fillId="3" borderId="1" xfId="0" applyNumberFormat="1" applyFont="1" applyFill="1" applyBorder="1"/>
    <xf numFmtId="0" fontId="8" fillId="0" borderId="2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" fontId="3" fillId="0" borderId="0" xfId="0" applyNumberFormat="1" applyFont="1"/>
    <xf numFmtId="4" fontId="5" fillId="0" borderId="0" xfId="0" applyNumberFormat="1" applyFont="1"/>
    <xf numFmtId="0" fontId="38" fillId="3" borderId="0" xfId="0" applyFont="1" applyFill="1"/>
    <xf numFmtId="0" fontId="39" fillId="0" borderId="0" xfId="0" applyFont="1"/>
    <xf numFmtId="0" fontId="40" fillId="0" borderId="1" xfId="0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174" fontId="39" fillId="0" borderId="4" xfId="0" applyNumberFormat="1" applyFont="1" applyBorder="1"/>
    <xf numFmtId="174" fontId="40" fillId="2" borderId="1" xfId="0" applyNumberFormat="1" applyFont="1" applyFill="1" applyBorder="1"/>
    <xf numFmtId="174" fontId="39" fillId="0" borderId="1" xfId="0" applyNumberFormat="1" applyFont="1" applyBorder="1"/>
    <xf numFmtId="10" fontId="6" fillId="0" borderId="11" xfId="2" applyNumberFormat="1" applyFont="1" applyFill="1" applyBorder="1" applyAlignment="1" applyProtection="1">
      <alignment wrapText="1"/>
      <protection locked="0"/>
    </xf>
    <xf numFmtId="10" fontId="6" fillId="0" borderId="14" xfId="2" applyNumberFormat="1" applyFont="1" applyFill="1" applyBorder="1" applyAlignment="1" applyProtection="1">
      <alignment wrapText="1"/>
      <protection locked="0"/>
    </xf>
    <xf numFmtId="10" fontId="6" fillId="0" borderId="6" xfId="2" applyNumberFormat="1" applyFont="1" applyFill="1" applyBorder="1" applyAlignment="1" applyProtection="1">
      <alignment wrapText="1"/>
      <protection locked="0"/>
    </xf>
    <xf numFmtId="165" fontId="6" fillId="0" borderId="12" xfId="0" applyNumberFormat="1" applyFont="1" applyBorder="1" applyProtection="1">
      <protection locked="0"/>
    </xf>
    <xf numFmtId="165" fontId="6" fillId="0" borderId="15" xfId="0" applyNumberFormat="1" applyFont="1" applyBorder="1" applyProtection="1">
      <protection locked="0"/>
    </xf>
    <xf numFmtId="165" fontId="6" fillId="0" borderId="7" xfId="0" applyNumberFormat="1" applyFont="1" applyBorder="1" applyProtection="1">
      <protection locked="0"/>
    </xf>
    <xf numFmtId="165" fontId="6" fillId="0" borderId="18" xfId="0" applyNumberFormat="1" applyFont="1" applyBorder="1" applyProtection="1">
      <protection locked="0"/>
    </xf>
    <xf numFmtId="0" fontId="3" fillId="0" borderId="1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wrapText="1"/>
    </xf>
    <xf numFmtId="0" fontId="15" fillId="4" borderId="11" xfId="0" applyFont="1" applyFill="1" applyBorder="1" applyAlignment="1">
      <alignment horizontal="center" wrapText="1"/>
    </xf>
    <xf numFmtId="0" fontId="15" fillId="4" borderId="12" xfId="0" applyFont="1" applyFill="1" applyBorder="1" applyAlignment="1">
      <alignment horizontal="center" wrapText="1"/>
    </xf>
    <xf numFmtId="0" fontId="26" fillId="0" borderId="20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0" fillId="4" borderId="10" xfId="0" applyFont="1" applyFill="1" applyBorder="1" applyAlignment="1" applyProtection="1">
      <alignment horizontal="center" wrapText="1"/>
      <protection locked="0"/>
    </xf>
    <xf numFmtId="0" fontId="20" fillId="4" borderId="11" xfId="0" applyFont="1" applyFill="1" applyBorder="1" applyAlignment="1" applyProtection="1">
      <alignment horizontal="center" wrapText="1"/>
      <protection locked="0"/>
    </xf>
    <xf numFmtId="0" fontId="20" fillId="4" borderId="12" xfId="0" applyFont="1" applyFill="1" applyBorder="1" applyAlignment="1" applyProtection="1">
      <alignment horizontal="center" wrapText="1"/>
      <protection locked="0"/>
    </xf>
    <xf numFmtId="0" fontId="20" fillId="4" borderId="10" xfId="0" applyFont="1" applyFill="1" applyBorder="1" applyAlignment="1" applyProtection="1">
      <alignment horizontal="center" vertical="center" wrapText="1"/>
      <protection locked="0"/>
    </xf>
    <xf numFmtId="0" fontId="20" fillId="4" borderId="13" xfId="0" applyFont="1" applyFill="1" applyBorder="1" applyAlignment="1" applyProtection="1">
      <alignment horizontal="center" vertical="center" wrapText="1"/>
      <protection locked="0"/>
    </xf>
    <xf numFmtId="0" fontId="20" fillId="4" borderId="17" xfId="0" applyFont="1" applyFill="1" applyBorder="1" applyAlignment="1" applyProtection="1">
      <alignment horizontal="center" vertical="center" wrapText="1"/>
      <protection locked="0"/>
    </xf>
    <xf numFmtId="0" fontId="20" fillId="4" borderId="20" xfId="0" applyFont="1" applyFill="1" applyBorder="1" applyAlignment="1" applyProtection="1">
      <alignment horizontal="center" vertical="center" wrapText="1"/>
      <protection locked="0"/>
    </xf>
    <xf numFmtId="0" fontId="20" fillId="4" borderId="16" xfId="0" applyFont="1" applyFill="1" applyBorder="1" applyAlignment="1" applyProtection="1">
      <alignment horizontal="center" vertical="center" wrapText="1"/>
      <protection locked="0"/>
    </xf>
    <xf numFmtId="0" fontId="2" fillId="4" borderId="12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5" fillId="4" borderId="13" xfId="0" applyFont="1" applyFill="1" applyBorder="1" applyAlignment="1" applyProtection="1">
      <alignment horizontal="center" vertical="center" wrapText="1"/>
      <protection locked="0"/>
    </xf>
    <xf numFmtId="0" fontId="15" fillId="4" borderId="16" xfId="0" applyFont="1" applyFill="1" applyBorder="1" applyAlignment="1" applyProtection="1">
      <alignment horizontal="center" vertical="center" wrapText="1"/>
      <protection locked="0"/>
    </xf>
    <xf numFmtId="0" fontId="15" fillId="4" borderId="10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 applyProtection="1">
      <alignment horizontal="center" wrapText="1"/>
      <protection locked="0"/>
    </xf>
    <xf numFmtId="0" fontId="15" fillId="4" borderId="11" xfId="0" applyFont="1" applyFill="1" applyBorder="1" applyAlignment="1" applyProtection="1">
      <alignment horizontal="center" wrapText="1"/>
      <protection locked="0"/>
    </xf>
    <xf numFmtId="0" fontId="15" fillId="4" borderId="12" xfId="0" applyFont="1" applyFill="1" applyBorder="1" applyAlignment="1" applyProtection="1">
      <alignment horizontal="center" wrapText="1"/>
      <protection locked="0"/>
    </xf>
    <xf numFmtId="0" fontId="15" fillId="4" borderId="10" xfId="0" applyFont="1" applyFill="1" applyBorder="1" applyAlignment="1" applyProtection="1">
      <alignment horizontal="center" vertical="center" wrapText="1"/>
      <protection locked="0"/>
    </xf>
    <xf numFmtId="0" fontId="15" fillId="4" borderId="17" xfId="0" applyFont="1" applyFill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1" fontId="28" fillId="2" borderId="10" xfId="0" applyNumberFormat="1" applyFont="1" applyFill="1" applyBorder="1" applyAlignment="1">
      <alignment horizontal="center"/>
    </xf>
    <xf numFmtId="1" fontId="28" fillId="2" borderId="11" xfId="0" applyNumberFormat="1" applyFont="1" applyFill="1" applyBorder="1" applyAlignment="1">
      <alignment horizontal="center"/>
    </xf>
    <xf numFmtId="1" fontId="28" fillId="2" borderId="12" xfId="0" applyNumberFormat="1" applyFont="1" applyFill="1" applyBorder="1" applyAlignment="1">
      <alignment horizontal="center"/>
    </xf>
  </cellXfs>
  <cellStyles count="3">
    <cellStyle name="Mena" xfId="1" builtinId="4"/>
    <cellStyle name="Normálna" xfId="0" builtinId="0"/>
    <cellStyle name="Percentá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2E48-96B9-4A3F-8764-371F9941CF14}">
  <sheetPr>
    <tabColor theme="1"/>
  </sheetPr>
  <dimension ref="A1:O63"/>
  <sheetViews>
    <sheetView tabSelected="1" zoomScale="80" zoomScaleNormal="80" workbookViewId="0">
      <selection activeCell="L54" sqref="L54"/>
    </sheetView>
  </sheetViews>
  <sheetFormatPr baseColWidth="10" defaultColWidth="8.83203125" defaultRowHeight="19" x14ac:dyDescent="0.25"/>
  <cols>
    <col min="1" max="1" width="8.83203125" style="156"/>
    <col min="2" max="2" width="11.83203125" customWidth="1"/>
    <col min="3" max="5" width="13.5" bestFit="1" customWidth="1"/>
    <col min="6" max="7" width="14.5" bestFit="1" customWidth="1"/>
    <col min="8" max="9" width="14.5" customWidth="1"/>
    <col min="10" max="10" width="10.1640625" customWidth="1"/>
    <col min="11" max="11" width="7.5" bestFit="1" customWidth="1"/>
    <col min="13" max="13" width="15" bestFit="1" customWidth="1"/>
    <col min="14" max="14" width="14.1640625" bestFit="1" customWidth="1"/>
    <col min="15" max="15" width="15" bestFit="1" customWidth="1"/>
  </cols>
  <sheetData>
    <row r="1" spans="1:15" ht="15" x14ac:dyDescent="0.2">
      <c r="A1" s="349" t="s">
        <v>92</v>
      </c>
      <c r="B1" s="350"/>
      <c r="C1" s="350"/>
      <c r="D1" s="350"/>
      <c r="E1" s="350"/>
      <c r="F1" s="350"/>
      <c r="G1" s="350"/>
      <c r="H1" s="350"/>
      <c r="I1" s="350"/>
      <c r="J1" s="350"/>
      <c r="K1" s="351"/>
    </row>
    <row r="2" spans="1:15" ht="33" thickBot="1" x14ac:dyDescent="0.25">
      <c r="A2" s="129"/>
      <c r="B2" s="130" t="s">
        <v>88</v>
      </c>
      <c r="C2" s="130" t="s">
        <v>72</v>
      </c>
      <c r="D2" s="130" t="s">
        <v>73</v>
      </c>
      <c r="E2" s="130" t="s">
        <v>74</v>
      </c>
      <c r="F2" s="130" t="s">
        <v>75</v>
      </c>
      <c r="G2" s="130" t="s">
        <v>76</v>
      </c>
      <c r="H2" s="50" t="s">
        <v>77</v>
      </c>
      <c r="I2" s="50" t="s">
        <v>78</v>
      </c>
      <c r="J2" s="131" t="s">
        <v>79</v>
      </c>
      <c r="K2" s="132" t="s">
        <v>80</v>
      </c>
    </row>
    <row r="3" spans="1:15" ht="15" x14ac:dyDescent="0.2">
      <c r="A3" s="352" t="s">
        <v>49</v>
      </c>
      <c r="B3" s="128">
        <v>1</v>
      </c>
      <c r="C3" s="133">
        <v>690</v>
      </c>
      <c r="D3" s="133">
        <v>890</v>
      </c>
      <c r="E3" s="133">
        <v>990</v>
      </c>
      <c r="F3" s="133">
        <v>1190</v>
      </c>
      <c r="G3" s="133">
        <v>1490</v>
      </c>
      <c r="H3" s="133"/>
      <c r="I3" s="133"/>
      <c r="J3" s="134"/>
      <c r="K3" s="135">
        <v>1</v>
      </c>
    </row>
    <row r="4" spans="1:15" ht="15" x14ac:dyDescent="0.2">
      <c r="A4" s="353"/>
      <c r="B4" s="130">
        <v>5</v>
      </c>
      <c r="C4" s="136">
        <f>+C3</f>
        <v>690</v>
      </c>
      <c r="D4" s="136">
        <f t="shared" ref="D4:G5" si="0">+D3</f>
        <v>890</v>
      </c>
      <c r="E4" s="136">
        <f t="shared" si="0"/>
        <v>990</v>
      </c>
      <c r="F4" s="136">
        <f t="shared" si="0"/>
        <v>1190</v>
      </c>
      <c r="G4" s="136">
        <f t="shared" si="0"/>
        <v>1490</v>
      </c>
      <c r="H4" s="136"/>
      <c r="I4" s="136"/>
      <c r="J4" s="137"/>
      <c r="K4" s="135"/>
    </row>
    <row r="5" spans="1:15" ht="15" x14ac:dyDescent="0.2">
      <c r="A5" s="354"/>
      <c r="B5" s="138">
        <v>10</v>
      </c>
      <c r="C5" s="139">
        <f>+C4</f>
        <v>690</v>
      </c>
      <c r="D5" s="139">
        <f t="shared" si="0"/>
        <v>890</v>
      </c>
      <c r="E5" s="139">
        <f t="shared" si="0"/>
        <v>990</v>
      </c>
      <c r="F5" s="139">
        <f t="shared" si="0"/>
        <v>1190</v>
      </c>
      <c r="G5" s="139">
        <f t="shared" si="0"/>
        <v>1490</v>
      </c>
      <c r="H5" s="139"/>
      <c r="I5" s="139"/>
      <c r="J5" s="140"/>
      <c r="K5" s="141"/>
    </row>
    <row r="6" spans="1:15" ht="15" x14ac:dyDescent="0.2">
      <c r="A6" s="355" t="s">
        <v>81</v>
      </c>
      <c r="B6" s="142">
        <v>1</v>
      </c>
      <c r="C6" s="143">
        <v>2490</v>
      </c>
      <c r="D6" s="143">
        <v>3590</v>
      </c>
      <c r="E6" s="143">
        <v>3490</v>
      </c>
      <c r="F6" s="143">
        <v>4590</v>
      </c>
      <c r="G6" s="143">
        <v>9990</v>
      </c>
      <c r="H6" s="143"/>
      <c r="I6" s="143"/>
      <c r="J6" s="144"/>
      <c r="K6" s="135">
        <v>5</v>
      </c>
      <c r="M6" s="127"/>
      <c r="N6" s="127"/>
      <c r="O6" s="127"/>
    </row>
    <row r="7" spans="1:15" ht="15" x14ac:dyDescent="0.2">
      <c r="A7" s="353"/>
      <c r="B7" s="130">
        <v>3</v>
      </c>
      <c r="C7" s="145">
        <v>2739</v>
      </c>
      <c r="D7" s="145">
        <v>3771</v>
      </c>
      <c r="E7" s="145">
        <v>3789</v>
      </c>
      <c r="F7" s="145">
        <v>4821</v>
      </c>
      <c r="G7" s="145">
        <v>10490</v>
      </c>
      <c r="H7" s="145"/>
      <c r="I7" s="145"/>
      <c r="J7" s="137"/>
      <c r="K7" s="135"/>
    </row>
    <row r="8" spans="1:15" ht="15" x14ac:dyDescent="0.2">
      <c r="A8" s="354"/>
      <c r="B8" s="138">
        <v>12</v>
      </c>
      <c r="C8" s="146">
        <v>2988</v>
      </c>
      <c r="D8" s="146">
        <v>3948</v>
      </c>
      <c r="E8" s="146">
        <v>4092</v>
      </c>
      <c r="F8" s="146">
        <v>5052</v>
      </c>
      <c r="G8" s="146">
        <v>10990</v>
      </c>
      <c r="H8" s="146"/>
      <c r="I8" s="146"/>
      <c r="J8" s="140"/>
      <c r="K8" s="141"/>
    </row>
    <row r="9" spans="1:15" ht="15" x14ac:dyDescent="0.2">
      <c r="A9" s="355" t="s">
        <v>82</v>
      </c>
      <c r="B9" s="142">
        <v>1</v>
      </c>
      <c r="C9" s="147">
        <v>149000</v>
      </c>
      <c r="D9" s="147">
        <v>249000</v>
      </c>
      <c r="E9" s="147">
        <v>248000</v>
      </c>
      <c r="F9" s="147">
        <v>348000</v>
      </c>
      <c r="G9" s="147"/>
      <c r="H9" s="147"/>
      <c r="I9" s="147"/>
      <c r="J9" s="144"/>
      <c r="K9" s="135">
        <v>400</v>
      </c>
    </row>
    <row r="10" spans="1:15" ht="15" x14ac:dyDescent="0.2">
      <c r="A10" s="353"/>
      <c r="B10" s="130">
        <v>3</v>
      </c>
      <c r="C10" s="148">
        <f>+C9</f>
        <v>149000</v>
      </c>
      <c r="D10" s="148">
        <f t="shared" ref="D10:G11" si="1">+D9</f>
        <v>249000</v>
      </c>
      <c r="E10" s="148">
        <f t="shared" si="1"/>
        <v>248000</v>
      </c>
      <c r="F10" s="148">
        <f t="shared" si="1"/>
        <v>348000</v>
      </c>
      <c r="G10" s="148">
        <f t="shared" si="1"/>
        <v>0</v>
      </c>
      <c r="H10" s="148"/>
      <c r="I10" s="148"/>
      <c r="J10" s="137"/>
      <c r="K10" s="135"/>
    </row>
    <row r="11" spans="1:15" ht="15" x14ac:dyDescent="0.2">
      <c r="A11" s="354"/>
      <c r="B11" s="138">
        <v>12</v>
      </c>
      <c r="C11" s="149">
        <f>+C10</f>
        <v>149000</v>
      </c>
      <c r="D11" s="149">
        <f t="shared" si="1"/>
        <v>249000</v>
      </c>
      <c r="E11" s="149">
        <f t="shared" si="1"/>
        <v>248000</v>
      </c>
      <c r="F11" s="149">
        <f t="shared" si="1"/>
        <v>348000</v>
      </c>
      <c r="G11" s="149">
        <f t="shared" si="1"/>
        <v>0</v>
      </c>
      <c r="H11" s="149"/>
      <c r="I11" s="149"/>
      <c r="J11" s="140"/>
      <c r="K11" s="141"/>
    </row>
    <row r="12" spans="1:15" ht="15" x14ac:dyDescent="0.2">
      <c r="A12" s="353" t="s">
        <v>84</v>
      </c>
      <c r="B12" s="130">
        <v>1</v>
      </c>
      <c r="C12" s="150">
        <v>19900</v>
      </c>
      <c r="D12" s="150">
        <v>29900</v>
      </c>
      <c r="E12" s="150">
        <v>29900</v>
      </c>
      <c r="F12" s="150">
        <v>39900</v>
      </c>
      <c r="G12" s="150">
        <v>49900</v>
      </c>
      <c r="H12" s="150"/>
      <c r="I12" s="150"/>
      <c r="J12" s="137"/>
      <c r="K12" s="135">
        <v>25</v>
      </c>
    </row>
    <row r="13" spans="1:15" ht="15" x14ac:dyDescent="0.2">
      <c r="A13" s="353"/>
      <c r="B13" s="130">
        <v>5</v>
      </c>
      <c r="C13" s="150">
        <f>+C12</f>
        <v>19900</v>
      </c>
      <c r="D13" s="150">
        <f t="shared" ref="D13:G14" si="2">+D12</f>
        <v>29900</v>
      </c>
      <c r="E13" s="150">
        <f t="shared" si="2"/>
        <v>29900</v>
      </c>
      <c r="F13" s="150">
        <f t="shared" si="2"/>
        <v>39900</v>
      </c>
      <c r="G13" s="150">
        <f t="shared" si="2"/>
        <v>49900</v>
      </c>
      <c r="H13" s="150"/>
      <c r="I13" s="150"/>
      <c r="J13" s="137"/>
      <c r="K13" s="135"/>
    </row>
    <row r="14" spans="1:15" ht="16" thickBot="1" x14ac:dyDescent="0.25">
      <c r="A14" s="356"/>
      <c r="B14" s="131">
        <v>10</v>
      </c>
      <c r="C14" s="151">
        <f>+C13</f>
        <v>19900</v>
      </c>
      <c r="D14" s="152">
        <f t="shared" si="2"/>
        <v>29900</v>
      </c>
      <c r="E14" s="151">
        <f t="shared" si="2"/>
        <v>29900</v>
      </c>
      <c r="F14" s="151">
        <f t="shared" si="2"/>
        <v>39900</v>
      </c>
      <c r="G14" s="151">
        <f t="shared" si="2"/>
        <v>49900</v>
      </c>
      <c r="H14" s="151"/>
      <c r="I14" s="151"/>
      <c r="J14" s="153"/>
      <c r="K14" s="154"/>
    </row>
    <row r="15" spans="1:15" ht="15" x14ac:dyDescent="0.2">
      <c r="A15" s="353" t="s">
        <v>85</v>
      </c>
      <c r="B15" s="130">
        <v>1</v>
      </c>
      <c r="C15" s="133">
        <v>1490</v>
      </c>
      <c r="D15" s="133">
        <v>1790</v>
      </c>
      <c r="E15" s="133">
        <v>2190</v>
      </c>
      <c r="F15" s="133">
        <v>2490</v>
      </c>
      <c r="G15" s="133"/>
      <c r="H15" s="136"/>
      <c r="I15" s="136"/>
      <c r="J15" s="137"/>
      <c r="K15" s="135">
        <v>1</v>
      </c>
    </row>
    <row r="16" spans="1:15" ht="15" x14ac:dyDescent="0.2">
      <c r="A16" s="353"/>
      <c r="B16" s="130">
        <v>4</v>
      </c>
      <c r="C16" s="136">
        <f>+C15</f>
        <v>1490</v>
      </c>
      <c r="D16" s="136">
        <f t="shared" ref="D16:G17" si="3">+D15</f>
        <v>1790</v>
      </c>
      <c r="E16" s="136">
        <f t="shared" si="3"/>
        <v>2190</v>
      </c>
      <c r="F16" s="136">
        <f t="shared" si="3"/>
        <v>2490</v>
      </c>
      <c r="G16" s="136">
        <f t="shared" si="3"/>
        <v>0</v>
      </c>
      <c r="H16" s="136"/>
      <c r="I16" s="136"/>
      <c r="J16" s="137"/>
      <c r="K16" s="135"/>
    </row>
    <row r="17" spans="1:15" ht="16" thickBot="1" x14ac:dyDescent="0.25">
      <c r="A17" s="356"/>
      <c r="B17" s="131">
        <v>8</v>
      </c>
      <c r="C17" s="155">
        <f>+C16</f>
        <v>1490</v>
      </c>
      <c r="D17" s="155">
        <f t="shared" si="3"/>
        <v>1790</v>
      </c>
      <c r="E17" s="155">
        <f t="shared" si="3"/>
        <v>2190</v>
      </c>
      <c r="F17" s="155">
        <f t="shared" si="3"/>
        <v>2490</v>
      </c>
      <c r="G17" s="155">
        <f t="shared" si="3"/>
        <v>0</v>
      </c>
      <c r="H17" s="155"/>
      <c r="I17" s="155"/>
      <c r="J17" s="153"/>
      <c r="K17" s="154"/>
    </row>
    <row r="18" spans="1:15" ht="15" x14ac:dyDescent="0.2">
      <c r="A18" s="353" t="s">
        <v>87</v>
      </c>
      <c r="B18" s="130">
        <v>1</v>
      </c>
      <c r="C18" s="133">
        <v>1090</v>
      </c>
      <c r="D18" s="133">
        <v>1290</v>
      </c>
      <c r="E18" s="133">
        <v>1390</v>
      </c>
      <c r="F18" s="133">
        <v>1590</v>
      </c>
      <c r="G18" s="133"/>
      <c r="H18" s="136"/>
      <c r="I18" s="136"/>
      <c r="J18" s="137"/>
      <c r="K18" s="135">
        <v>1</v>
      </c>
    </row>
    <row r="19" spans="1:15" ht="15" x14ac:dyDescent="0.2">
      <c r="A19" s="353"/>
      <c r="B19" s="130">
        <v>3</v>
      </c>
      <c r="C19" s="136">
        <f t="shared" ref="C19:G20" si="4">+C18</f>
        <v>1090</v>
      </c>
      <c r="D19" s="136">
        <f t="shared" si="4"/>
        <v>1290</v>
      </c>
      <c r="E19" s="136">
        <f t="shared" si="4"/>
        <v>1390</v>
      </c>
      <c r="F19" s="136">
        <f t="shared" si="4"/>
        <v>1590</v>
      </c>
      <c r="G19" s="136">
        <f t="shared" si="4"/>
        <v>0</v>
      </c>
      <c r="H19" s="136"/>
      <c r="I19" s="136"/>
      <c r="J19" s="137"/>
      <c r="K19" s="135"/>
    </row>
    <row r="20" spans="1:15" ht="16" thickBot="1" x14ac:dyDescent="0.25">
      <c r="A20" s="356"/>
      <c r="B20" s="131">
        <v>6</v>
      </c>
      <c r="C20" s="155">
        <f t="shared" si="4"/>
        <v>1090</v>
      </c>
      <c r="D20" s="155">
        <f t="shared" si="4"/>
        <v>1290</v>
      </c>
      <c r="E20" s="155">
        <f t="shared" si="4"/>
        <v>1390</v>
      </c>
      <c r="F20" s="155">
        <f t="shared" si="4"/>
        <v>1590</v>
      </c>
      <c r="G20" s="155">
        <f t="shared" si="4"/>
        <v>0</v>
      </c>
      <c r="H20" s="155"/>
      <c r="I20" s="155"/>
      <c r="J20" s="153"/>
      <c r="K20" s="154"/>
    </row>
    <row r="22" spans="1:15" ht="20" thickBot="1" x14ac:dyDescent="0.3"/>
    <row r="23" spans="1:15" ht="15" x14ac:dyDescent="0.2">
      <c r="A23" s="344" t="s">
        <v>90</v>
      </c>
      <c r="B23" s="345"/>
      <c r="C23" s="345"/>
      <c r="D23" s="345"/>
      <c r="E23" s="345"/>
      <c r="F23" s="345"/>
      <c r="G23" s="345"/>
      <c r="H23" s="79"/>
      <c r="I23" s="79"/>
      <c r="J23" s="357" t="s">
        <v>89</v>
      </c>
    </row>
    <row r="24" spans="1:15" ht="34" thickBot="1" x14ac:dyDescent="0.3">
      <c r="A24" s="157"/>
      <c r="B24" s="50" t="s">
        <v>88</v>
      </c>
      <c r="C24" s="64" t="s">
        <v>72</v>
      </c>
      <c r="D24" s="64" t="s">
        <v>73</v>
      </c>
      <c r="E24" s="64" t="s">
        <v>74</v>
      </c>
      <c r="F24" s="64" t="s">
        <v>75</v>
      </c>
      <c r="G24" s="64" t="s">
        <v>76</v>
      </c>
      <c r="H24" s="51" t="s">
        <v>77</v>
      </c>
      <c r="I24" s="51" t="s">
        <v>78</v>
      </c>
      <c r="J24" s="358"/>
    </row>
    <row r="25" spans="1:15" ht="15" x14ac:dyDescent="0.2">
      <c r="A25" s="359" t="s">
        <v>49</v>
      </c>
      <c r="B25" s="159">
        <v>1</v>
      </c>
      <c r="C25" s="171">
        <v>1400</v>
      </c>
      <c r="D25" s="171">
        <v>1600</v>
      </c>
      <c r="E25" s="171">
        <v>1800</v>
      </c>
      <c r="F25" s="171">
        <v>2100</v>
      </c>
      <c r="G25" s="171">
        <v>2500</v>
      </c>
      <c r="H25" s="198">
        <v>1600</v>
      </c>
      <c r="I25" s="214">
        <v>1200</v>
      </c>
      <c r="J25" s="160"/>
    </row>
    <row r="26" spans="1:15" ht="15" x14ac:dyDescent="0.2">
      <c r="A26" s="342"/>
      <c r="B26" s="161">
        <v>3</v>
      </c>
      <c r="C26" s="173">
        <f>+C25*(1+$J26)</f>
        <v>1400</v>
      </c>
      <c r="D26" s="173">
        <f t="shared" ref="D26:G26" si="5">+D25*(1+$J26)</f>
        <v>1600</v>
      </c>
      <c r="E26" s="173">
        <f t="shared" si="5"/>
        <v>1800</v>
      </c>
      <c r="F26" s="173">
        <f t="shared" si="5"/>
        <v>2100</v>
      </c>
      <c r="G26" s="173">
        <f t="shared" si="5"/>
        <v>2500</v>
      </c>
      <c r="H26" s="199">
        <f t="shared" ref="H26:I26" si="6">+H25*(1+$J26)</f>
        <v>1600</v>
      </c>
      <c r="I26" s="174">
        <f t="shared" si="6"/>
        <v>1200</v>
      </c>
      <c r="J26" s="162">
        <v>0</v>
      </c>
    </row>
    <row r="27" spans="1:15" ht="15" x14ac:dyDescent="0.2">
      <c r="A27" s="342"/>
      <c r="B27" s="163">
        <v>12</v>
      </c>
      <c r="C27" s="173">
        <f t="shared" ref="C27:I27" si="7">+C25*(1+$J27)</f>
        <v>1400</v>
      </c>
      <c r="D27" s="173">
        <f t="shared" si="7"/>
        <v>1600</v>
      </c>
      <c r="E27" s="173">
        <f t="shared" si="7"/>
        <v>1800</v>
      </c>
      <c r="F27" s="173">
        <f t="shared" si="7"/>
        <v>2100</v>
      </c>
      <c r="G27" s="173">
        <f t="shared" si="7"/>
        <v>2500</v>
      </c>
      <c r="H27" s="199">
        <f t="shared" si="7"/>
        <v>1600</v>
      </c>
      <c r="I27" s="174">
        <f t="shared" si="7"/>
        <v>1200</v>
      </c>
      <c r="J27" s="164">
        <v>0</v>
      </c>
    </row>
    <row r="28" spans="1:15" ht="15" x14ac:dyDescent="0.2">
      <c r="A28" s="360" t="s">
        <v>81</v>
      </c>
      <c r="B28" s="165">
        <v>1</v>
      </c>
      <c r="C28" s="187">
        <f>1400*$K$6</f>
        <v>7000</v>
      </c>
      <c r="D28" s="187">
        <f>1600*$K$6</f>
        <v>8000</v>
      </c>
      <c r="E28" s="187">
        <f>1800*$K$6</f>
        <v>9000</v>
      </c>
      <c r="F28" s="187">
        <f>2100*$K$6</f>
        <v>10500</v>
      </c>
      <c r="G28" s="187">
        <f>2500*$K$6</f>
        <v>12500</v>
      </c>
      <c r="H28" s="284">
        <v>8000</v>
      </c>
      <c r="I28" s="215">
        <v>3000</v>
      </c>
      <c r="J28" s="166"/>
      <c r="M28" s="127"/>
    </row>
    <row r="29" spans="1:15" ht="15" x14ac:dyDescent="0.2">
      <c r="A29" s="342"/>
      <c r="B29" s="161">
        <v>3</v>
      </c>
      <c r="C29" s="188">
        <f t="shared" ref="C29:I29" si="8">+C28*(1+$J29)</f>
        <v>7000</v>
      </c>
      <c r="D29" s="188">
        <f t="shared" si="8"/>
        <v>8000</v>
      </c>
      <c r="E29" s="188">
        <f t="shared" si="8"/>
        <v>9000</v>
      </c>
      <c r="F29" s="188">
        <f t="shared" si="8"/>
        <v>10500</v>
      </c>
      <c r="G29" s="188">
        <f t="shared" si="8"/>
        <v>12500</v>
      </c>
      <c r="H29" s="200">
        <f t="shared" si="8"/>
        <v>8000</v>
      </c>
      <c r="I29" s="189">
        <f t="shared" si="8"/>
        <v>3000</v>
      </c>
      <c r="J29" s="162">
        <v>0</v>
      </c>
      <c r="M29" s="127"/>
      <c r="O29" s="127"/>
    </row>
    <row r="30" spans="1:15" ht="16" thickBot="1" x14ac:dyDescent="0.25">
      <c r="A30" s="348"/>
      <c r="B30" s="163">
        <v>12</v>
      </c>
      <c r="C30" s="190">
        <f t="shared" ref="C30:I30" si="9">+C28*(1+$J30)</f>
        <v>7000</v>
      </c>
      <c r="D30" s="190">
        <f t="shared" si="9"/>
        <v>8000</v>
      </c>
      <c r="E30" s="190">
        <f t="shared" si="9"/>
        <v>9000</v>
      </c>
      <c r="F30" s="190">
        <f t="shared" si="9"/>
        <v>10500</v>
      </c>
      <c r="G30" s="190">
        <f t="shared" si="9"/>
        <v>12500</v>
      </c>
      <c r="H30" s="201">
        <f t="shared" si="9"/>
        <v>8000</v>
      </c>
      <c r="I30" s="191">
        <f t="shared" si="9"/>
        <v>3000</v>
      </c>
      <c r="J30" s="164">
        <v>0</v>
      </c>
      <c r="M30" s="127"/>
      <c r="O30" s="127"/>
    </row>
    <row r="31" spans="1:15" ht="15" x14ac:dyDescent="0.2">
      <c r="A31" s="342" t="s">
        <v>82</v>
      </c>
      <c r="B31" s="165">
        <v>1</v>
      </c>
      <c r="C31" s="94">
        <f>1400*$K$9</f>
        <v>560000</v>
      </c>
      <c r="D31" s="94">
        <f>1600*$K$9</f>
        <v>640000</v>
      </c>
      <c r="E31" s="94">
        <f>1800*$K$9</f>
        <v>720000</v>
      </c>
      <c r="F31" s="94">
        <f>2100*$K$9</f>
        <v>840000</v>
      </c>
      <c r="G31" s="94"/>
      <c r="H31" s="202"/>
      <c r="I31" s="221">
        <v>240000</v>
      </c>
      <c r="J31" s="166"/>
    </row>
    <row r="32" spans="1:15" ht="15" x14ac:dyDescent="0.2">
      <c r="A32" s="342"/>
      <c r="B32" s="161">
        <v>3</v>
      </c>
      <c r="C32" s="96">
        <f>+C31*(1+$J32)</f>
        <v>560000</v>
      </c>
      <c r="D32" s="96">
        <f>+D31*(1+$J32)</f>
        <v>640000</v>
      </c>
      <c r="E32" s="96">
        <f>+E31*(1+$J32)</f>
        <v>720000</v>
      </c>
      <c r="F32" s="96">
        <f>+F31*(1+$J32)</f>
        <v>840000</v>
      </c>
      <c r="G32" s="96"/>
      <c r="H32" s="203"/>
      <c r="I32" s="97">
        <f>+I31*(1+$J32)</f>
        <v>240000</v>
      </c>
      <c r="J32" s="162">
        <v>0</v>
      </c>
    </row>
    <row r="33" spans="1:14" ht="16" thickBot="1" x14ac:dyDescent="0.25">
      <c r="A33" s="348"/>
      <c r="B33" s="163">
        <v>12</v>
      </c>
      <c r="C33" s="99">
        <f>+C31*(1+$J33)</f>
        <v>560000</v>
      </c>
      <c r="D33" s="99">
        <f>+D31*(1+$J33)</f>
        <v>640000</v>
      </c>
      <c r="E33" s="99">
        <f>+E31*(1+$J33)</f>
        <v>720000</v>
      </c>
      <c r="F33" s="99">
        <f>+F31*(1+$J33)</f>
        <v>840000</v>
      </c>
      <c r="G33" s="99"/>
      <c r="H33" s="204"/>
      <c r="I33" s="100">
        <f>+I31*(1+$J33)</f>
        <v>240000</v>
      </c>
      <c r="J33" s="164">
        <v>0</v>
      </c>
    </row>
    <row r="34" spans="1:14" ht="15" x14ac:dyDescent="0.2">
      <c r="A34" s="342" t="s">
        <v>84</v>
      </c>
      <c r="B34" s="161">
        <v>1</v>
      </c>
      <c r="C34" s="102">
        <f>1400*$K$12</f>
        <v>35000</v>
      </c>
      <c r="D34" s="102">
        <f>1600*$K$12</f>
        <v>40000</v>
      </c>
      <c r="E34" s="102">
        <f>1800*$K$12</f>
        <v>45000</v>
      </c>
      <c r="F34" s="102">
        <f>2100*$K$12</f>
        <v>52500</v>
      </c>
      <c r="G34" s="102">
        <f>2500*$K$12</f>
        <v>62500</v>
      </c>
      <c r="H34" s="205">
        <v>40000</v>
      </c>
      <c r="I34" s="103">
        <v>30000</v>
      </c>
      <c r="J34" s="160"/>
    </row>
    <row r="35" spans="1:14" ht="15" x14ac:dyDescent="0.2">
      <c r="A35" s="342"/>
      <c r="B35" s="161">
        <v>3</v>
      </c>
      <c r="C35" s="102">
        <f t="shared" ref="C35:I35" si="10">+C34*(1+$J35)</f>
        <v>35000</v>
      </c>
      <c r="D35" s="102">
        <f t="shared" si="10"/>
        <v>40000</v>
      </c>
      <c r="E35" s="102">
        <f t="shared" si="10"/>
        <v>45000</v>
      </c>
      <c r="F35" s="102">
        <f t="shared" si="10"/>
        <v>52500</v>
      </c>
      <c r="G35" s="102">
        <f t="shared" si="10"/>
        <v>62500</v>
      </c>
      <c r="H35" s="206">
        <f t="shared" si="10"/>
        <v>40000</v>
      </c>
      <c r="I35" s="105">
        <f t="shared" si="10"/>
        <v>30000</v>
      </c>
      <c r="J35" s="162">
        <v>0</v>
      </c>
    </row>
    <row r="36" spans="1:14" ht="16" thickBot="1" x14ac:dyDescent="0.25">
      <c r="A36" s="343"/>
      <c r="B36" s="167">
        <v>12</v>
      </c>
      <c r="C36" s="106">
        <f t="shared" ref="C36:I36" si="11">+C34*(1+$J36)</f>
        <v>35000</v>
      </c>
      <c r="D36" s="106">
        <f t="shared" si="11"/>
        <v>40000</v>
      </c>
      <c r="E36" s="106">
        <f t="shared" si="11"/>
        <v>45000</v>
      </c>
      <c r="F36" s="106">
        <f t="shared" si="11"/>
        <v>52500</v>
      </c>
      <c r="G36" s="106">
        <f t="shared" si="11"/>
        <v>62500</v>
      </c>
      <c r="H36" s="207">
        <f t="shared" si="11"/>
        <v>40000</v>
      </c>
      <c r="I36" s="107">
        <f t="shared" si="11"/>
        <v>30000</v>
      </c>
      <c r="J36" s="164">
        <v>0</v>
      </c>
    </row>
    <row r="37" spans="1:14" ht="15" x14ac:dyDescent="0.2">
      <c r="A37" s="342" t="s">
        <v>85</v>
      </c>
      <c r="B37" s="161">
        <v>1</v>
      </c>
      <c r="C37" s="171">
        <f t="shared" ref="C37:H37" si="12">+C15</f>
        <v>1490</v>
      </c>
      <c r="D37" s="171">
        <f t="shared" si="12"/>
        <v>1790</v>
      </c>
      <c r="E37" s="171">
        <f t="shared" si="12"/>
        <v>2190</v>
      </c>
      <c r="F37" s="171">
        <f t="shared" si="12"/>
        <v>2490</v>
      </c>
      <c r="G37" s="171">
        <f t="shared" si="12"/>
        <v>0</v>
      </c>
      <c r="H37" s="198">
        <f t="shared" si="12"/>
        <v>0</v>
      </c>
      <c r="I37" s="172">
        <v>1200</v>
      </c>
      <c r="J37" s="168"/>
      <c r="M37" s="197"/>
      <c r="N37" s="197"/>
    </row>
    <row r="38" spans="1:14" ht="15" x14ac:dyDescent="0.2">
      <c r="A38" s="342"/>
      <c r="B38" s="161">
        <v>4</v>
      </c>
      <c r="C38" s="173">
        <f t="shared" ref="C38:I38" si="13">+C37*(1+$J38)</f>
        <v>1490</v>
      </c>
      <c r="D38" s="173">
        <f t="shared" si="13"/>
        <v>1790</v>
      </c>
      <c r="E38" s="173">
        <f t="shared" si="13"/>
        <v>2190</v>
      </c>
      <c r="F38" s="173">
        <f t="shared" si="13"/>
        <v>2490</v>
      </c>
      <c r="G38" s="173">
        <f t="shared" si="13"/>
        <v>0</v>
      </c>
      <c r="H38" s="199">
        <f t="shared" si="13"/>
        <v>0</v>
      </c>
      <c r="I38" s="174">
        <f t="shared" si="13"/>
        <v>1200</v>
      </c>
      <c r="J38" s="162">
        <v>0</v>
      </c>
    </row>
    <row r="39" spans="1:14" ht="16" thickBot="1" x14ac:dyDescent="0.25">
      <c r="A39" s="343"/>
      <c r="B39" s="167">
        <v>8</v>
      </c>
      <c r="C39" s="175">
        <f t="shared" ref="C39:I39" si="14">+C37*(1+$J39)</f>
        <v>1490</v>
      </c>
      <c r="D39" s="175">
        <f t="shared" si="14"/>
        <v>1790</v>
      </c>
      <c r="E39" s="175">
        <f t="shared" si="14"/>
        <v>2190</v>
      </c>
      <c r="F39" s="175">
        <f t="shared" si="14"/>
        <v>2490</v>
      </c>
      <c r="G39" s="175">
        <f t="shared" si="14"/>
        <v>0</v>
      </c>
      <c r="H39" s="208">
        <f t="shared" si="14"/>
        <v>0</v>
      </c>
      <c r="I39" s="176">
        <f t="shared" si="14"/>
        <v>1200</v>
      </c>
      <c r="J39" s="164">
        <v>0</v>
      </c>
    </row>
    <row r="40" spans="1:14" ht="15" x14ac:dyDescent="0.2">
      <c r="A40" s="342" t="s">
        <v>87</v>
      </c>
      <c r="B40" s="161">
        <v>1</v>
      </c>
      <c r="C40" s="171">
        <f t="shared" ref="C40:H40" si="15">+C18</f>
        <v>1090</v>
      </c>
      <c r="D40" s="171">
        <f t="shared" si="15"/>
        <v>1290</v>
      </c>
      <c r="E40" s="171">
        <f t="shared" si="15"/>
        <v>1390</v>
      </c>
      <c r="F40" s="171">
        <f t="shared" si="15"/>
        <v>1590</v>
      </c>
      <c r="G40" s="171">
        <f t="shared" si="15"/>
        <v>0</v>
      </c>
      <c r="H40" s="198">
        <f t="shared" si="15"/>
        <v>0</v>
      </c>
      <c r="I40" s="214">
        <v>300</v>
      </c>
      <c r="J40" s="160"/>
    </row>
    <row r="41" spans="1:14" ht="15" x14ac:dyDescent="0.2">
      <c r="A41" s="342"/>
      <c r="B41" s="161">
        <v>3</v>
      </c>
      <c r="C41" s="173">
        <f t="shared" ref="C41:I41" si="16">+C40*(1+$J41)</f>
        <v>1090</v>
      </c>
      <c r="D41" s="173">
        <f t="shared" si="16"/>
        <v>1290</v>
      </c>
      <c r="E41" s="173">
        <f t="shared" si="16"/>
        <v>1390</v>
      </c>
      <c r="F41" s="173">
        <f t="shared" si="16"/>
        <v>1590</v>
      </c>
      <c r="G41" s="173">
        <f t="shared" si="16"/>
        <v>0</v>
      </c>
      <c r="H41" s="199">
        <f t="shared" si="16"/>
        <v>0</v>
      </c>
      <c r="I41" s="174">
        <f t="shared" si="16"/>
        <v>300</v>
      </c>
      <c r="J41" s="162">
        <v>0</v>
      </c>
    </row>
    <row r="42" spans="1:14" ht="16" thickBot="1" x14ac:dyDescent="0.25">
      <c r="A42" s="343"/>
      <c r="B42" s="167">
        <v>6</v>
      </c>
      <c r="C42" s="175">
        <f t="shared" ref="C42:I42" si="17">+C40*(1+$J42)</f>
        <v>1090</v>
      </c>
      <c r="D42" s="175">
        <f t="shared" si="17"/>
        <v>1290</v>
      </c>
      <c r="E42" s="175">
        <f t="shared" si="17"/>
        <v>1390</v>
      </c>
      <c r="F42" s="175">
        <f t="shared" si="17"/>
        <v>1590</v>
      </c>
      <c r="G42" s="175">
        <f t="shared" si="17"/>
        <v>0</v>
      </c>
      <c r="H42" s="208">
        <f t="shared" si="17"/>
        <v>0</v>
      </c>
      <c r="I42" s="176">
        <f t="shared" si="17"/>
        <v>300</v>
      </c>
      <c r="J42" s="164">
        <v>0</v>
      </c>
    </row>
    <row r="43" spans="1:14" ht="20" thickBot="1" x14ac:dyDescent="0.3"/>
    <row r="44" spans="1:14" ht="15" customHeight="1" x14ac:dyDescent="0.2">
      <c r="A44" s="344" t="s">
        <v>91</v>
      </c>
      <c r="B44" s="345"/>
      <c r="C44" s="345"/>
      <c r="D44" s="345"/>
      <c r="E44" s="345"/>
      <c r="F44" s="345"/>
      <c r="G44" s="346"/>
      <c r="H44" s="78"/>
      <c r="I44" s="80"/>
    </row>
    <row r="45" spans="1:14" ht="34" thickBot="1" x14ac:dyDescent="0.3">
      <c r="A45" s="157"/>
      <c r="B45" s="64" t="s">
        <v>71</v>
      </c>
      <c r="C45" s="64" t="s">
        <v>72</v>
      </c>
      <c r="D45" s="64" t="s">
        <v>73</v>
      </c>
      <c r="E45" s="64" t="s">
        <v>74</v>
      </c>
      <c r="F45" s="64" t="s">
        <v>75</v>
      </c>
      <c r="G45" s="158" t="s">
        <v>76</v>
      </c>
      <c r="H45" s="170" t="s">
        <v>77</v>
      </c>
      <c r="I45" s="52" t="s">
        <v>78</v>
      </c>
    </row>
    <row r="46" spans="1:14" ht="15" x14ac:dyDescent="0.2">
      <c r="A46" s="341" t="s">
        <v>49</v>
      </c>
      <c r="B46" s="112">
        <f>+B25</f>
        <v>1</v>
      </c>
      <c r="C46" s="177">
        <f>+C25/$K$3</f>
        <v>1400</v>
      </c>
      <c r="D46" s="177">
        <f t="shared" ref="D46:G48" si="18">+D25/$K$3</f>
        <v>1600</v>
      </c>
      <c r="E46" s="177">
        <f t="shared" si="18"/>
        <v>1800</v>
      </c>
      <c r="F46" s="177">
        <f t="shared" si="18"/>
        <v>2100</v>
      </c>
      <c r="G46" s="178">
        <f t="shared" si="18"/>
        <v>2500</v>
      </c>
      <c r="H46" s="192">
        <f t="shared" ref="H46" si="19">+H25/$K$3</f>
        <v>1600</v>
      </c>
      <c r="I46" s="178">
        <f t="shared" ref="I46" si="20">+I25/$K$3</f>
        <v>1200</v>
      </c>
    </row>
    <row r="47" spans="1:14" ht="15" x14ac:dyDescent="0.2">
      <c r="A47" s="338"/>
      <c r="B47" s="115">
        <f t="shared" ref="B47:B63" si="21">+B26</f>
        <v>3</v>
      </c>
      <c r="C47" s="179">
        <f>+C26/$K$3</f>
        <v>1400</v>
      </c>
      <c r="D47" s="179">
        <f t="shared" si="18"/>
        <v>1600</v>
      </c>
      <c r="E47" s="179">
        <f t="shared" si="18"/>
        <v>1800</v>
      </c>
      <c r="F47" s="179">
        <f t="shared" si="18"/>
        <v>2100</v>
      </c>
      <c r="G47" s="180">
        <f t="shared" si="18"/>
        <v>2500</v>
      </c>
      <c r="H47" s="193">
        <f t="shared" ref="H47" si="22">+H26/$K$3</f>
        <v>1600</v>
      </c>
      <c r="I47" s="180">
        <f t="shared" ref="I47" si="23">+I26/$K$3</f>
        <v>1200</v>
      </c>
    </row>
    <row r="48" spans="1:14" ht="15" x14ac:dyDescent="0.2">
      <c r="A48" s="338"/>
      <c r="B48" s="115">
        <f t="shared" si="21"/>
        <v>12</v>
      </c>
      <c r="C48" s="179">
        <f>+C27/$K$3</f>
        <v>1400</v>
      </c>
      <c r="D48" s="179">
        <f t="shared" si="18"/>
        <v>1600</v>
      </c>
      <c r="E48" s="179">
        <f t="shared" si="18"/>
        <v>1800</v>
      </c>
      <c r="F48" s="179">
        <f t="shared" si="18"/>
        <v>2100</v>
      </c>
      <c r="G48" s="180">
        <f t="shared" si="18"/>
        <v>2500</v>
      </c>
      <c r="H48" s="193">
        <f t="shared" ref="H48" si="24">+H27/$K$3</f>
        <v>1600</v>
      </c>
      <c r="I48" s="180">
        <f t="shared" ref="I48" si="25">+I27/$K$3</f>
        <v>1200</v>
      </c>
    </row>
    <row r="49" spans="1:9" ht="15" x14ac:dyDescent="0.2">
      <c r="A49" s="347" t="s">
        <v>81</v>
      </c>
      <c r="B49" s="169">
        <f t="shared" si="21"/>
        <v>1</v>
      </c>
      <c r="C49" s="181">
        <f t="shared" ref="C49:G51" si="26">+C28/$K$6</f>
        <v>1400</v>
      </c>
      <c r="D49" s="181">
        <f t="shared" si="26"/>
        <v>1600</v>
      </c>
      <c r="E49" s="181">
        <f t="shared" si="26"/>
        <v>1800</v>
      </c>
      <c r="F49" s="181">
        <f t="shared" si="26"/>
        <v>2100</v>
      </c>
      <c r="G49" s="182">
        <f t="shared" si="26"/>
        <v>2500</v>
      </c>
      <c r="H49" s="194">
        <f t="shared" ref="H49" si="27">+H28/$K$6</f>
        <v>1600</v>
      </c>
      <c r="I49" s="182">
        <f t="shared" ref="I49" si="28">+I28/$K$6</f>
        <v>600</v>
      </c>
    </row>
    <row r="50" spans="1:9" ht="15" x14ac:dyDescent="0.2">
      <c r="A50" s="338"/>
      <c r="B50" s="115">
        <f t="shared" si="21"/>
        <v>3</v>
      </c>
      <c r="C50" s="179">
        <f t="shared" si="26"/>
        <v>1400</v>
      </c>
      <c r="D50" s="179">
        <f t="shared" si="26"/>
        <v>1600</v>
      </c>
      <c r="E50" s="179">
        <f t="shared" si="26"/>
        <v>1800</v>
      </c>
      <c r="F50" s="179">
        <f t="shared" si="26"/>
        <v>2100</v>
      </c>
      <c r="G50" s="180">
        <f t="shared" si="26"/>
        <v>2500</v>
      </c>
      <c r="H50" s="193">
        <f t="shared" ref="H50" si="29">+H29/$K$6</f>
        <v>1600</v>
      </c>
      <c r="I50" s="180">
        <f t="shared" ref="I50" si="30">+I29/$K$6</f>
        <v>600</v>
      </c>
    </row>
    <row r="51" spans="1:9" ht="15" x14ac:dyDescent="0.2">
      <c r="A51" s="339"/>
      <c r="B51" s="121">
        <f t="shared" si="21"/>
        <v>12</v>
      </c>
      <c r="C51" s="183">
        <f t="shared" si="26"/>
        <v>1400</v>
      </c>
      <c r="D51" s="183">
        <f t="shared" si="26"/>
        <v>1600</v>
      </c>
      <c r="E51" s="183">
        <f t="shared" si="26"/>
        <v>1800</v>
      </c>
      <c r="F51" s="183">
        <f t="shared" si="26"/>
        <v>2100</v>
      </c>
      <c r="G51" s="184">
        <f t="shared" si="26"/>
        <v>2500</v>
      </c>
      <c r="H51" s="195">
        <f t="shared" ref="H51" si="31">+H30/$K$6</f>
        <v>1600</v>
      </c>
      <c r="I51" s="184">
        <f t="shared" ref="I51" si="32">+I30/$K$6</f>
        <v>600</v>
      </c>
    </row>
    <row r="52" spans="1:9" ht="15" x14ac:dyDescent="0.2">
      <c r="A52" s="338" t="s">
        <v>82</v>
      </c>
      <c r="B52" s="115">
        <f t="shared" si="21"/>
        <v>1</v>
      </c>
      <c r="C52" s="179">
        <f>+C31/$K$9</f>
        <v>1400</v>
      </c>
      <c r="D52" s="179">
        <f t="shared" ref="D52:G54" si="33">+D31/$K$9</f>
        <v>1600</v>
      </c>
      <c r="E52" s="179">
        <f t="shared" si="33"/>
        <v>1800</v>
      </c>
      <c r="F52" s="179">
        <f t="shared" si="33"/>
        <v>2100</v>
      </c>
      <c r="G52" s="180">
        <f t="shared" si="33"/>
        <v>0</v>
      </c>
      <c r="H52" s="193">
        <f t="shared" ref="H52" si="34">+H31/$K$9</f>
        <v>0</v>
      </c>
      <c r="I52" s="180">
        <f t="shared" ref="I52" si="35">+I31/$K$9</f>
        <v>600</v>
      </c>
    </row>
    <row r="53" spans="1:9" ht="15" x14ac:dyDescent="0.2">
      <c r="A53" s="338"/>
      <c r="B53" s="115">
        <f t="shared" si="21"/>
        <v>3</v>
      </c>
      <c r="C53" s="179">
        <f>+C32/$K$9</f>
        <v>1400</v>
      </c>
      <c r="D53" s="179">
        <f t="shared" si="33"/>
        <v>1600</v>
      </c>
      <c r="E53" s="179">
        <f t="shared" si="33"/>
        <v>1800</v>
      </c>
      <c r="F53" s="179">
        <f t="shared" si="33"/>
        <v>2100</v>
      </c>
      <c r="G53" s="180">
        <f t="shared" si="33"/>
        <v>0</v>
      </c>
      <c r="H53" s="193">
        <f t="shared" ref="H53" si="36">+H32/$K$9</f>
        <v>0</v>
      </c>
      <c r="I53" s="180">
        <f t="shared" ref="I53" si="37">+I32/$K$9</f>
        <v>600</v>
      </c>
    </row>
    <row r="54" spans="1:9" ht="15" x14ac:dyDescent="0.2">
      <c r="A54" s="339"/>
      <c r="B54" s="121">
        <f t="shared" si="21"/>
        <v>12</v>
      </c>
      <c r="C54" s="183">
        <f>+C33/$K$9</f>
        <v>1400</v>
      </c>
      <c r="D54" s="183">
        <f t="shared" si="33"/>
        <v>1600</v>
      </c>
      <c r="E54" s="183">
        <f t="shared" si="33"/>
        <v>1800</v>
      </c>
      <c r="F54" s="183">
        <f t="shared" si="33"/>
        <v>2100</v>
      </c>
      <c r="G54" s="184">
        <f t="shared" si="33"/>
        <v>0</v>
      </c>
      <c r="H54" s="195">
        <f t="shared" ref="H54" si="38">+H33/$K$9</f>
        <v>0</v>
      </c>
      <c r="I54" s="184">
        <f t="shared" ref="I54" si="39">+I33/$K$9</f>
        <v>600</v>
      </c>
    </row>
    <row r="55" spans="1:9" ht="15" x14ac:dyDescent="0.2">
      <c r="A55" s="338" t="s">
        <v>84</v>
      </c>
      <c r="B55" s="115">
        <f t="shared" si="21"/>
        <v>1</v>
      </c>
      <c r="C55" s="179">
        <f t="shared" ref="C55:G57" si="40">+C34/$K$12</f>
        <v>1400</v>
      </c>
      <c r="D55" s="179">
        <f t="shared" si="40"/>
        <v>1600</v>
      </c>
      <c r="E55" s="179">
        <f t="shared" si="40"/>
        <v>1800</v>
      </c>
      <c r="F55" s="179">
        <f t="shared" si="40"/>
        <v>2100</v>
      </c>
      <c r="G55" s="180">
        <f t="shared" si="40"/>
        <v>2500</v>
      </c>
      <c r="H55" s="193">
        <f t="shared" ref="H55" si="41">+H34/$K$12</f>
        <v>1600</v>
      </c>
      <c r="I55" s="180">
        <f t="shared" ref="I55" si="42">+I34/$K$12</f>
        <v>1200</v>
      </c>
    </row>
    <row r="56" spans="1:9" ht="15" x14ac:dyDescent="0.2">
      <c r="A56" s="338"/>
      <c r="B56" s="115">
        <f t="shared" si="21"/>
        <v>3</v>
      </c>
      <c r="C56" s="179">
        <f t="shared" si="40"/>
        <v>1400</v>
      </c>
      <c r="D56" s="179">
        <f t="shared" si="40"/>
        <v>1600</v>
      </c>
      <c r="E56" s="179">
        <f t="shared" si="40"/>
        <v>1800</v>
      </c>
      <c r="F56" s="179">
        <f t="shared" si="40"/>
        <v>2100</v>
      </c>
      <c r="G56" s="180">
        <f t="shared" si="40"/>
        <v>2500</v>
      </c>
      <c r="H56" s="193">
        <f t="shared" ref="H56" si="43">+H35/$K$12</f>
        <v>1600</v>
      </c>
      <c r="I56" s="180">
        <f t="shared" ref="I56" si="44">+I35/$K$12</f>
        <v>1200</v>
      </c>
    </row>
    <row r="57" spans="1:9" ht="16" thickBot="1" x14ac:dyDescent="0.25">
      <c r="A57" s="340"/>
      <c r="B57" s="118">
        <f t="shared" si="21"/>
        <v>12</v>
      </c>
      <c r="C57" s="185">
        <f t="shared" si="40"/>
        <v>1400</v>
      </c>
      <c r="D57" s="185">
        <f t="shared" si="40"/>
        <v>1600</v>
      </c>
      <c r="E57" s="185">
        <f t="shared" si="40"/>
        <v>1800</v>
      </c>
      <c r="F57" s="185">
        <f t="shared" si="40"/>
        <v>2100</v>
      </c>
      <c r="G57" s="186">
        <f t="shared" si="40"/>
        <v>2500</v>
      </c>
      <c r="H57" s="196">
        <f t="shared" ref="H57" si="45">+H36/$K$12</f>
        <v>1600</v>
      </c>
      <c r="I57" s="186">
        <f t="shared" ref="I57" si="46">+I36/$K$12</f>
        <v>1200</v>
      </c>
    </row>
    <row r="58" spans="1:9" ht="15" x14ac:dyDescent="0.2">
      <c r="A58" s="341" t="s">
        <v>85</v>
      </c>
      <c r="B58" s="112">
        <f t="shared" si="21"/>
        <v>1</v>
      </c>
      <c r="C58" s="177">
        <f>+C37/$K$15</f>
        <v>1490</v>
      </c>
      <c r="D58" s="177">
        <f t="shared" ref="D58:F60" si="47">+D37/$K$15</f>
        <v>1790</v>
      </c>
      <c r="E58" s="177">
        <f t="shared" si="47"/>
        <v>2190</v>
      </c>
      <c r="F58" s="177">
        <f t="shared" si="47"/>
        <v>2490</v>
      </c>
      <c r="G58" s="178"/>
      <c r="H58" s="192"/>
      <c r="I58" s="178">
        <f t="shared" ref="I58" si="48">+I37/$K$15</f>
        <v>1200</v>
      </c>
    </row>
    <row r="59" spans="1:9" ht="15" x14ac:dyDescent="0.2">
      <c r="A59" s="338"/>
      <c r="B59" s="115">
        <f t="shared" si="21"/>
        <v>4</v>
      </c>
      <c r="C59" s="179">
        <f>+C38/$K$15</f>
        <v>1490</v>
      </c>
      <c r="D59" s="179">
        <f t="shared" si="47"/>
        <v>1790</v>
      </c>
      <c r="E59" s="179">
        <f t="shared" si="47"/>
        <v>2190</v>
      </c>
      <c r="F59" s="179">
        <f t="shared" si="47"/>
        <v>2490</v>
      </c>
      <c r="G59" s="180"/>
      <c r="H59" s="193"/>
      <c r="I59" s="180">
        <f t="shared" ref="I59" si="49">+I38/$K$15</f>
        <v>1200</v>
      </c>
    </row>
    <row r="60" spans="1:9" ht="16" thickBot="1" x14ac:dyDescent="0.25">
      <c r="A60" s="340"/>
      <c r="B60" s="118">
        <f t="shared" si="21"/>
        <v>8</v>
      </c>
      <c r="C60" s="185">
        <f>+C39/$K$15</f>
        <v>1490</v>
      </c>
      <c r="D60" s="185">
        <f t="shared" si="47"/>
        <v>1790</v>
      </c>
      <c r="E60" s="185">
        <f t="shared" si="47"/>
        <v>2190</v>
      </c>
      <c r="F60" s="185">
        <f t="shared" si="47"/>
        <v>2490</v>
      </c>
      <c r="G60" s="186"/>
      <c r="H60" s="196"/>
      <c r="I60" s="186">
        <f t="shared" ref="I60" si="50">+I39/$K$15</f>
        <v>1200</v>
      </c>
    </row>
    <row r="61" spans="1:9" ht="15" x14ac:dyDescent="0.2">
      <c r="A61" s="341" t="s">
        <v>87</v>
      </c>
      <c r="B61" s="112">
        <f t="shared" si="21"/>
        <v>1</v>
      </c>
      <c r="C61" s="177">
        <f>+C40/$K$18</f>
        <v>1090</v>
      </c>
      <c r="D61" s="177">
        <f t="shared" ref="D61:F63" si="51">+D40/$K$18</f>
        <v>1290</v>
      </c>
      <c r="E61" s="177">
        <f t="shared" si="51"/>
        <v>1390</v>
      </c>
      <c r="F61" s="177">
        <f t="shared" si="51"/>
        <v>1590</v>
      </c>
      <c r="G61" s="178"/>
      <c r="H61" s="192"/>
      <c r="I61" s="178">
        <f t="shared" ref="I61" si="52">+I40/$K$18</f>
        <v>300</v>
      </c>
    </row>
    <row r="62" spans="1:9" ht="15" x14ac:dyDescent="0.2">
      <c r="A62" s="338"/>
      <c r="B62" s="115">
        <f t="shared" si="21"/>
        <v>3</v>
      </c>
      <c r="C62" s="179">
        <f>+C41/$K$18</f>
        <v>1090</v>
      </c>
      <c r="D62" s="179">
        <f t="shared" si="51"/>
        <v>1290</v>
      </c>
      <c r="E62" s="179">
        <f t="shared" si="51"/>
        <v>1390</v>
      </c>
      <c r="F62" s="179">
        <f t="shared" si="51"/>
        <v>1590</v>
      </c>
      <c r="G62" s="180"/>
      <c r="H62" s="193"/>
      <c r="I62" s="180">
        <f t="shared" ref="I62" si="53">+I41/$K$18</f>
        <v>300</v>
      </c>
    </row>
    <row r="63" spans="1:9" ht="16" thickBot="1" x14ac:dyDescent="0.25">
      <c r="A63" s="340"/>
      <c r="B63" s="118">
        <f t="shared" si="21"/>
        <v>6</v>
      </c>
      <c r="C63" s="185">
        <f>+C42/$K$18</f>
        <v>1090</v>
      </c>
      <c r="D63" s="185">
        <f t="shared" si="51"/>
        <v>1290</v>
      </c>
      <c r="E63" s="185">
        <f t="shared" si="51"/>
        <v>1390</v>
      </c>
      <c r="F63" s="185">
        <f t="shared" si="51"/>
        <v>1590</v>
      </c>
      <c r="G63" s="186"/>
      <c r="H63" s="196"/>
      <c r="I63" s="186">
        <f t="shared" ref="I63" si="54">+I42/$K$18</f>
        <v>300</v>
      </c>
    </row>
  </sheetData>
  <protectedRanges>
    <protectedRange algorithmName="SHA-512" hashValue="8+WC16KcaTl8JHmbUVQ84W+hurA1WFZn6fnGPbOSDFaa0OB9h6e1TmKamNA520L398AyBpLndqhYk0z/5BgtXw==" saltValue="Ah3UgLlf68Thq0MxUhBAaw==" spinCount="100000" sqref="D23:I23 A23:B23 A24:A36 C24:C36 D25:I27 D24:G24 H44:I44 D29:I36 D28:G28 I28" name="Range1"/>
    <protectedRange algorithmName="SHA-512" hashValue="8+WC16KcaTl8JHmbUVQ84W+hurA1WFZn6fnGPbOSDFaa0OB9h6e1TmKamNA520L398AyBpLndqhYk0z/5BgtXw==" saltValue="Ah3UgLlf68Thq0MxUhBAaw==" spinCount="100000" sqref="A37:A42 C37:I42" name="Range1_1"/>
    <protectedRange algorithmName="SHA-512" hashValue="8+WC16KcaTl8JHmbUVQ84W+hurA1WFZn6fnGPbOSDFaa0OB9h6e1TmKamNA520L398AyBpLndqhYk0z/5BgtXw==" saltValue="Ah3UgLlf68Thq0MxUhBAaw==" spinCount="100000" sqref="A44:B44 D44:G44" name="Range1_2"/>
    <protectedRange algorithmName="SHA-512" hashValue="8+WC16KcaTl8JHmbUVQ84W+hurA1WFZn6fnGPbOSDFaa0OB9h6e1TmKamNA520L398AyBpLndqhYk0z/5BgtXw==" saltValue="Ah3UgLlf68Thq0MxUhBAaw==" spinCount="100000" sqref="A45:G57 H46:I57" name="Range1_3"/>
    <protectedRange algorithmName="SHA-512" hashValue="8+WC16KcaTl8JHmbUVQ84W+hurA1WFZn6fnGPbOSDFaa0OB9h6e1TmKamNA520L398AyBpLndqhYk0z/5BgtXw==" saltValue="Ah3UgLlf68Thq0MxUhBAaw==" spinCount="100000" sqref="A58:I63" name="Range1_3_1"/>
    <protectedRange algorithmName="SHA-512" hashValue="8+WC16KcaTl8JHmbUVQ84W+hurA1WFZn6fnGPbOSDFaa0OB9h6e1TmKamNA520L398AyBpLndqhYk0z/5BgtXw==" saltValue="Ah3UgLlf68Thq0MxUhBAaw==" spinCount="100000" sqref="H28" name="Range1_4"/>
  </protectedRanges>
  <mergeCells count="22">
    <mergeCell ref="A31:A33"/>
    <mergeCell ref="A1:K1"/>
    <mergeCell ref="A3:A5"/>
    <mergeCell ref="A6:A8"/>
    <mergeCell ref="A9:A11"/>
    <mergeCell ref="A12:A14"/>
    <mergeCell ref="A15:A17"/>
    <mergeCell ref="A18:A20"/>
    <mergeCell ref="A23:G23"/>
    <mergeCell ref="J23:J24"/>
    <mergeCell ref="A25:A27"/>
    <mergeCell ref="A28:A30"/>
    <mergeCell ref="A52:A54"/>
    <mergeCell ref="A55:A57"/>
    <mergeCell ref="A58:A60"/>
    <mergeCell ref="A61:A63"/>
    <mergeCell ref="A34:A36"/>
    <mergeCell ref="A37:A39"/>
    <mergeCell ref="A40:A42"/>
    <mergeCell ref="A44:G44"/>
    <mergeCell ref="A46:A48"/>
    <mergeCell ref="A49:A5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D816-1DF7-4640-AD8E-1188EC8CA466}">
  <sheetPr>
    <tabColor theme="1"/>
  </sheetPr>
  <dimension ref="A1:Q93"/>
  <sheetViews>
    <sheetView topLeftCell="A42" zoomScale="80" zoomScaleNormal="80" workbookViewId="0">
      <selection activeCell="C91" sqref="C91"/>
    </sheetView>
  </sheetViews>
  <sheetFormatPr baseColWidth="10" defaultColWidth="8.83203125" defaultRowHeight="15" x14ac:dyDescent="0.2"/>
  <cols>
    <col min="3" max="7" width="15.5" customWidth="1"/>
    <col min="8" max="8" width="17.1640625" customWidth="1"/>
    <col min="9" max="9" width="17.83203125" customWidth="1"/>
    <col min="10" max="10" width="18.5" customWidth="1"/>
    <col min="11" max="11" width="8.5" customWidth="1"/>
    <col min="12" max="12" width="48.5" customWidth="1"/>
    <col min="14" max="14" width="14.5" bestFit="1" customWidth="1"/>
  </cols>
  <sheetData>
    <row r="1" spans="1:14" x14ac:dyDescent="0.2">
      <c r="A1" s="375" t="s">
        <v>142</v>
      </c>
      <c r="B1" s="376"/>
      <c r="C1" s="376"/>
      <c r="D1" s="376"/>
      <c r="E1" s="376"/>
      <c r="F1" s="376"/>
      <c r="G1" s="376"/>
      <c r="H1" s="376"/>
      <c r="I1" s="376"/>
      <c r="J1" s="376"/>
      <c r="K1" s="377"/>
      <c r="L1" s="7"/>
    </row>
    <row r="2" spans="1:14" ht="17" thickBot="1" x14ac:dyDescent="0.25">
      <c r="A2" s="49"/>
      <c r="B2" s="50" t="s">
        <v>71</v>
      </c>
      <c r="C2" s="50" t="s">
        <v>72</v>
      </c>
      <c r="D2" s="50" t="s">
        <v>73</v>
      </c>
      <c r="E2" s="50" t="s">
        <v>74</v>
      </c>
      <c r="F2" s="50" t="s">
        <v>75</v>
      </c>
      <c r="G2" s="50" t="s">
        <v>76</v>
      </c>
      <c r="H2" s="50" t="s">
        <v>77</v>
      </c>
      <c r="I2" s="50" t="s">
        <v>78</v>
      </c>
      <c r="J2" s="51" t="s">
        <v>141</v>
      </c>
      <c r="K2" s="52" t="s">
        <v>80</v>
      </c>
      <c r="L2" s="7"/>
    </row>
    <row r="3" spans="1:14" x14ac:dyDescent="0.2">
      <c r="A3" s="378" t="s">
        <v>49</v>
      </c>
      <c r="B3" s="48">
        <v>1</v>
      </c>
      <c r="C3" s="53">
        <v>80.663099400000007</v>
      </c>
      <c r="D3" s="53">
        <v>92.567750599999997</v>
      </c>
      <c r="E3" s="53">
        <v>102.21188120000001</v>
      </c>
      <c r="F3" s="53">
        <v>114.1165324</v>
      </c>
      <c r="G3" s="53">
        <v>197.02879299999998</v>
      </c>
      <c r="H3" s="53">
        <v>0</v>
      </c>
      <c r="I3" s="53">
        <v>21.5487818</v>
      </c>
      <c r="J3" s="330">
        <v>0.04</v>
      </c>
      <c r="K3" s="333">
        <v>1</v>
      </c>
      <c r="L3" s="7"/>
      <c r="N3" s="126"/>
    </row>
    <row r="4" spans="1:14" x14ac:dyDescent="0.2">
      <c r="A4" s="371"/>
      <c r="B4" s="50">
        <v>10</v>
      </c>
      <c r="C4" s="54">
        <v>685.63066520000007</v>
      </c>
      <c r="D4" s="54">
        <v>786.79748160000008</v>
      </c>
      <c r="E4" s="54">
        <v>868.84642780000001</v>
      </c>
      <c r="F4" s="54">
        <v>970.00188479999997</v>
      </c>
      <c r="G4" s="54">
        <v>1674.7504202</v>
      </c>
      <c r="H4" s="54">
        <v>0</v>
      </c>
      <c r="I4" s="54">
        <v>183.20440320000003</v>
      </c>
      <c r="J4" s="73">
        <v>0.04</v>
      </c>
      <c r="K4" s="334">
        <v>1</v>
      </c>
      <c r="L4" s="7"/>
    </row>
    <row r="5" spans="1:14" ht="16" thickBot="1" x14ac:dyDescent="0.25">
      <c r="A5" s="372"/>
      <c r="B5" s="51">
        <v>20</v>
      </c>
      <c r="C5" s="55">
        <v>1209.9464910000002</v>
      </c>
      <c r="D5" s="55">
        <v>1388.459462</v>
      </c>
      <c r="E5" s="55">
        <v>1533.2463743999999</v>
      </c>
      <c r="F5" s="55">
        <v>1711.7707048</v>
      </c>
      <c r="G5" s="55">
        <v>2955.4318950000002</v>
      </c>
      <c r="H5" s="55">
        <v>0</v>
      </c>
      <c r="I5" s="55">
        <v>323.31124280000006</v>
      </c>
      <c r="J5" s="331">
        <v>0.04</v>
      </c>
      <c r="K5" s="335">
        <v>1</v>
      </c>
      <c r="L5" s="7"/>
    </row>
    <row r="6" spans="1:14" x14ac:dyDescent="0.2">
      <c r="A6" s="378" t="s">
        <v>81</v>
      </c>
      <c r="B6" s="48">
        <v>1</v>
      </c>
      <c r="C6" s="56">
        <v>360</v>
      </c>
      <c r="D6" s="56">
        <v>490</v>
      </c>
      <c r="E6" s="56">
        <v>490</v>
      </c>
      <c r="F6" s="56">
        <v>620</v>
      </c>
      <c r="G6" s="56">
        <v>1050</v>
      </c>
      <c r="H6" s="56">
        <v>430</v>
      </c>
      <c r="I6" s="56">
        <v>130</v>
      </c>
      <c r="J6" s="330">
        <v>7.2999999999999995E-2</v>
      </c>
      <c r="K6" s="333">
        <v>5.0423999999999998</v>
      </c>
      <c r="L6" s="220"/>
      <c r="N6" s="127"/>
    </row>
    <row r="7" spans="1:14" x14ac:dyDescent="0.2">
      <c r="A7" s="371"/>
      <c r="B7" s="50">
        <v>10</v>
      </c>
      <c r="C7" s="57">
        <v>3060</v>
      </c>
      <c r="D7" s="57">
        <v>4165</v>
      </c>
      <c r="E7" s="57">
        <v>4165</v>
      </c>
      <c r="F7" s="57">
        <v>5270</v>
      </c>
      <c r="G7" s="57">
        <v>8925</v>
      </c>
      <c r="H7" s="57">
        <v>3655</v>
      </c>
      <c r="I7" s="57">
        <v>1105</v>
      </c>
      <c r="J7" s="73">
        <v>7.2999999999999995E-2</v>
      </c>
      <c r="K7" s="334">
        <v>5.0423999999999998</v>
      </c>
      <c r="L7" s="7"/>
    </row>
    <row r="8" spans="1:14" ht="16" thickBot="1" x14ac:dyDescent="0.25">
      <c r="A8" s="372"/>
      <c r="B8" s="51">
        <v>20</v>
      </c>
      <c r="C8" s="58">
        <v>5400</v>
      </c>
      <c r="D8" s="58">
        <v>7350</v>
      </c>
      <c r="E8" s="58">
        <v>7350</v>
      </c>
      <c r="F8" s="58">
        <v>9300</v>
      </c>
      <c r="G8" s="58">
        <v>15750</v>
      </c>
      <c r="H8" s="58">
        <v>6450</v>
      </c>
      <c r="I8" s="58">
        <v>1950</v>
      </c>
      <c r="J8" s="331">
        <v>7.2999999999999995E-2</v>
      </c>
      <c r="K8" s="335">
        <v>5.0423999999999998</v>
      </c>
      <c r="L8" s="7"/>
    </row>
    <row r="9" spans="1:14" x14ac:dyDescent="0.2">
      <c r="A9" s="378" t="s">
        <v>82</v>
      </c>
      <c r="B9" s="48">
        <v>1</v>
      </c>
      <c r="C9" s="59">
        <v>30770</v>
      </c>
      <c r="D9" s="59">
        <v>39740</v>
      </c>
      <c r="E9" s="59">
        <v>38450</v>
      </c>
      <c r="F9" s="59">
        <v>47420</v>
      </c>
      <c r="G9" s="59">
        <v>0</v>
      </c>
      <c r="H9" s="59">
        <v>0</v>
      </c>
      <c r="I9" s="59">
        <v>7685</v>
      </c>
      <c r="J9" s="330">
        <v>4.3999999999999997E-2</v>
      </c>
      <c r="K9" s="333">
        <v>397.76749999999998</v>
      </c>
      <c r="L9" s="7"/>
    </row>
    <row r="10" spans="1:14" x14ac:dyDescent="0.2">
      <c r="A10" s="371"/>
      <c r="B10" s="50">
        <v>10</v>
      </c>
      <c r="C10" s="60">
        <v>184620</v>
      </c>
      <c r="D10" s="60">
        <v>238440</v>
      </c>
      <c r="E10" s="60">
        <v>230700</v>
      </c>
      <c r="F10" s="60">
        <v>284520</v>
      </c>
      <c r="G10" s="60">
        <v>0</v>
      </c>
      <c r="H10" s="60">
        <v>0</v>
      </c>
      <c r="I10" s="60">
        <v>46100</v>
      </c>
      <c r="J10" s="73">
        <v>4.3999999999999997E-2</v>
      </c>
      <c r="K10" s="334">
        <v>397.76749999999998</v>
      </c>
      <c r="L10" s="7"/>
    </row>
    <row r="11" spans="1:14" x14ac:dyDescent="0.2">
      <c r="A11" s="379"/>
      <c r="B11" s="61">
        <v>20</v>
      </c>
      <c r="C11" s="62">
        <v>307700</v>
      </c>
      <c r="D11" s="62">
        <v>397400</v>
      </c>
      <c r="E11" s="62">
        <v>384500</v>
      </c>
      <c r="F11" s="62">
        <v>474200</v>
      </c>
      <c r="G11" s="62">
        <v>0</v>
      </c>
      <c r="H11" s="62">
        <v>0</v>
      </c>
      <c r="I11" s="62">
        <v>76835</v>
      </c>
      <c r="J11" s="332">
        <v>4.3999999999999997E-2</v>
      </c>
      <c r="K11" s="336">
        <v>397.76749999999998</v>
      </c>
      <c r="L11" s="7"/>
    </row>
    <row r="12" spans="1:14" x14ac:dyDescent="0.2">
      <c r="A12" s="367" t="s">
        <v>83</v>
      </c>
      <c r="B12" s="63">
        <v>10</v>
      </c>
      <c r="C12" s="60"/>
      <c r="D12" s="60"/>
      <c r="E12" s="60"/>
      <c r="F12" s="60"/>
      <c r="G12" s="60"/>
      <c r="H12" s="60"/>
      <c r="I12" s="60">
        <v>11530</v>
      </c>
      <c r="J12" s="73">
        <v>4.3999999999999997E-2</v>
      </c>
      <c r="K12" s="334">
        <v>397.76749999999998</v>
      </c>
      <c r="L12" s="7"/>
    </row>
    <row r="13" spans="1:14" ht="16" thickBot="1" x14ac:dyDescent="0.25">
      <c r="A13" s="368"/>
      <c r="B13" s="64">
        <v>20</v>
      </c>
      <c r="C13" s="60"/>
      <c r="D13" s="60"/>
      <c r="E13" s="60"/>
      <c r="F13" s="60"/>
      <c r="G13" s="60"/>
      <c r="H13" s="60"/>
      <c r="I13" s="60">
        <v>19215</v>
      </c>
      <c r="J13" s="73">
        <v>4.3999999999999997E-2</v>
      </c>
      <c r="K13" s="334">
        <v>397.76749999999998</v>
      </c>
      <c r="L13" s="7"/>
    </row>
    <row r="14" spans="1:14" x14ac:dyDescent="0.2">
      <c r="A14" s="378" t="s">
        <v>84</v>
      </c>
      <c r="B14" s="48">
        <v>1</v>
      </c>
      <c r="C14" s="65">
        <v>2182</v>
      </c>
      <c r="D14" s="65">
        <v>2730</v>
      </c>
      <c r="E14" s="65">
        <v>3605</v>
      </c>
      <c r="F14" s="65">
        <v>4152</v>
      </c>
      <c r="G14" s="65">
        <v>4932</v>
      </c>
      <c r="H14" s="65">
        <v>0</v>
      </c>
      <c r="I14" s="65">
        <v>0</v>
      </c>
      <c r="J14" s="330">
        <v>2.5000000000000001E-2</v>
      </c>
      <c r="K14" s="333">
        <v>24.687899999999999</v>
      </c>
      <c r="L14" s="7"/>
    </row>
    <row r="15" spans="1:14" x14ac:dyDescent="0.2">
      <c r="A15" s="371"/>
      <c r="B15" s="50">
        <v>5</v>
      </c>
      <c r="C15" s="66">
        <v>9819</v>
      </c>
      <c r="D15" s="66">
        <v>12285</v>
      </c>
      <c r="E15" s="66">
        <v>16222.5</v>
      </c>
      <c r="F15" s="66">
        <v>18684</v>
      </c>
      <c r="G15" s="66">
        <v>22191</v>
      </c>
      <c r="H15" s="66">
        <v>0</v>
      </c>
      <c r="I15" s="66">
        <v>0</v>
      </c>
      <c r="J15" s="73">
        <v>2.5000000000000001E-2</v>
      </c>
      <c r="K15" s="334">
        <v>24.687899999999999</v>
      </c>
      <c r="L15" s="7"/>
    </row>
    <row r="16" spans="1:14" ht="16" thickBot="1" x14ac:dyDescent="0.25">
      <c r="A16" s="372"/>
      <c r="B16" s="51">
        <v>10</v>
      </c>
      <c r="C16" s="67">
        <v>18547</v>
      </c>
      <c r="D16" s="68">
        <v>23205</v>
      </c>
      <c r="E16" s="67">
        <v>30642.5</v>
      </c>
      <c r="F16" s="67">
        <v>35292</v>
      </c>
      <c r="G16" s="67">
        <v>41915</v>
      </c>
      <c r="H16" s="67">
        <v>0</v>
      </c>
      <c r="I16" s="67">
        <v>0</v>
      </c>
      <c r="J16" s="331">
        <v>2.5000000000000001E-2</v>
      </c>
      <c r="K16" s="335">
        <v>24.687899999999999</v>
      </c>
      <c r="L16" s="7"/>
    </row>
    <row r="17" spans="1:12" x14ac:dyDescent="0.2">
      <c r="A17" s="371" t="s">
        <v>85</v>
      </c>
      <c r="B17" s="50">
        <v>1</v>
      </c>
      <c r="C17" s="53">
        <v>65.446457999999993</v>
      </c>
      <c r="D17" s="53">
        <v>76.539078000000003</v>
      </c>
      <c r="E17" s="53">
        <v>87.631698</v>
      </c>
      <c r="F17" s="53">
        <v>98.724317999999997</v>
      </c>
      <c r="G17" s="53">
        <v>0</v>
      </c>
      <c r="H17" s="54">
        <v>0</v>
      </c>
      <c r="I17" s="53">
        <v>76.539078000000003</v>
      </c>
      <c r="J17" s="73">
        <v>3.5999999999999997E-2</v>
      </c>
      <c r="K17" s="334">
        <v>1</v>
      </c>
      <c r="L17" s="370" t="s">
        <v>86</v>
      </c>
    </row>
    <row r="18" spans="1:12" x14ac:dyDescent="0.2">
      <c r="A18" s="371"/>
      <c r="B18" s="50">
        <v>5</v>
      </c>
      <c r="C18" s="54">
        <v>310.59336000000002</v>
      </c>
      <c r="D18" s="54">
        <v>363.83793599999996</v>
      </c>
      <c r="E18" s="54">
        <v>415.97324999999995</v>
      </c>
      <c r="F18" s="54">
        <v>469.217826</v>
      </c>
      <c r="G18" s="54">
        <v>0</v>
      </c>
      <c r="H18" s="54">
        <v>0</v>
      </c>
      <c r="I18" s="54">
        <v>363.83793599999996</v>
      </c>
      <c r="J18" s="73">
        <v>3.5999999999999997E-2</v>
      </c>
      <c r="K18" s="334">
        <v>1</v>
      </c>
      <c r="L18" s="370"/>
    </row>
    <row r="19" spans="1:12" ht="16" thickBot="1" x14ac:dyDescent="0.25">
      <c r="A19" s="372"/>
      <c r="B19" s="51">
        <v>10</v>
      </c>
      <c r="C19" s="55">
        <v>589.01812199999995</v>
      </c>
      <c r="D19" s="55">
        <v>688.85170199999993</v>
      </c>
      <c r="E19" s="55">
        <v>788.68528200000003</v>
      </c>
      <c r="F19" s="55">
        <v>888.51886200000001</v>
      </c>
      <c r="G19" s="55">
        <v>0</v>
      </c>
      <c r="H19" s="55">
        <v>0</v>
      </c>
      <c r="I19" s="55">
        <v>688.85170199999993</v>
      </c>
      <c r="J19" s="331">
        <v>3.5999999999999997E-2</v>
      </c>
      <c r="K19" s="335">
        <v>1</v>
      </c>
      <c r="L19" s="370"/>
    </row>
    <row r="20" spans="1:12" x14ac:dyDescent="0.2">
      <c r="A20" s="371" t="s">
        <v>87</v>
      </c>
      <c r="B20" s="50">
        <v>1</v>
      </c>
      <c r="C20" s="53">
        <v>64.054199999999994</v>
      </c>
      <c r="D20" s="53">
        <v>85.405600000000007</v>
      </c>
      <c r="E20" s="53">
        <v>85.405600000000007</v>
      </c>
      <c r="F20" s="53">
        <v>90.743449999999996</v>
      </c>
      <c r="G20" s="53">
        <v>0</v>
      </c>
      <c r="H20" s="54">
        <v>0</v>
      </c>
      <c r="I20" s="54">
        <v>0</v>
      </c>
      <c r="J20" s="73">
        <v>1.4999999999999999E-2</v>
      </c>
      <c r="K20" s="334">
        <v>1</v>
      </c>
      <c r="L20" s="370" t="s">
        <v>86</v>
      </c>
    </row>
    <row r="21" spans="1:12" x14ac:dyDescent="0.2">
      <c r="A21" s="371"/>
      <c r="B21" s="50">
        <v>10</v>
      </c>
      <c r="C21" s="54">
        <v>533.78499999999997</v>
      </c>
      <c r="D21" s="54">
        <v>629.86630000000002</v>
      </c>
      <c r="E21" s="54">
        <v>715.27189999999996</v>
      </c>
      <c r="F21" s="54">
        <v>747.29899999999998</v>
      </c>
      <c r="G21" s="54">
        <v>0</v>
      </c>
      <c r="H21" s="54">
        <v>0</v>
      </c>
      <c r="I21" s="54">
        <v>0</v>
      </c>
      <c r="J21" s="73">
        <v>1.4999999999999999E-2</v>
      </c>
      <c r="K21" s="334">
        <v>1</v>
      </c>
      <c r="L21" s="370"/>
    </row>
    <row r="22" spans="1:12" ht="16" thickBot="1" x14ac:dyDescent="0.25">
      <c r="A22" s="372"/>
      <c r="B22" s="51">
        <v>20</v>
      </c>
      <c r="C22" s="55">
        <v>960.81299999999999</v>
      </c>
      <c r="D22" s="55">
        <v>1067.57</v>
      </c>
      <c r="E22" s="55">
        <v>1174.327</v>
      </c>
      <c r="F22" s="55">
        <v>1281.0839999999998</v>
      </c>
      <c r="G22" s="55">
        <v>0</v>
      </c>
      <c r="H22" s="55">
        <v>0</v>
      </c>
      <c r="I22" s="55">
        <v>0</v>
      </c>
      <c r="J22" s="331">
        <v>1.4999999999999999E-2</v>
      </c>
      <c r="K22" s="335">
        <v>1</v>
      </c>
      <c r="L22" s="370"/>
    </row>
    <row r="23" spans="1:12" x14ac:dyDescent="0.2">
      <c r="A23" s="69"/>
      <c r="B23" s="70"/>
      <c r="C23" s="71"/>
      <c r="D23" s="72"/>
      <c r="E23" s="71"/>
      <c r="F23" s="71"/>
      <c r="G23" s="71"/>
      <c r="H23" s="71"/>
      <c r="I23" s="71"/>
      <c r="J23" s="73"/>
      <c r="K23" s="74"/>
      <c r="L23" s="7"/>
    </row>
    <row r="24" spans="1:12" ht="16" thickBot="1" x14ac:dyDescent="0.25">
      <c r="A24" s="75"/>
      <c r="B24" s="76"/>
      <c r="C24" s="75"/>
      <c r="D24" s="75"/>
      <c r="E24" s="75"/>
      <c r="F24" s="75"/>
      <c r="G24" s="75"/>
      <c r="H24" s="75"/>
      <c r="I24" s="75"/>
      <c r="J24" s="77"/>
      <c r="K24" s="7"/>
      <c r="L24" s="7"/>
    </row>
    <row r="25" spans="1:12" x14ac:dyDescent="0.2">
      <c r="A25" s="344" t="s">
        <v>143</v>
      </c>
      <c r="B25" s="345"/>
      <c r="C25" s="345"/>
      <c r="D25" s="345"/>
      <c r="E25" s="345"/>
      <c r="F25" s="345"/>
      <c r="G25" s="345"/>
      <c r="H25" s="345"/>
      <c r="I25" s="346"/>
      <c r="J25" s="7"/>
      <c r="K25" s="7"/>
      <c r="L25" s="7"/>
    </row>
    <row r="26" spans="1:12" ht="17" thickBot="1" x14ac:dyDescent="0.25">
      <c r="A26" s="81"/>
      <c r="B26" s="64" t="s">
        <v>71</v>
      </c>
      <c r="C26" s="64" t="s">
        <v>72</v>
      </c>
      <c r="D26" s="64" t="s">
        <v>73</v>
      </c>
      <c r="E26" s="64" t="s">
        <v>74</v>
      </c>
      <c r="F26" s="64" t="s">
        <v>75</v>
      </c>
      <c r="G26" s="64" t="s">
        <v>76</v>
      </c>
      <c r="H26" s="51" t="s">
        <v>77</v>
      </c>
      <c r="I26" s="52" t="s">
        <v>78</v>
      </c>
      <c r="J26" s="7"/>
      <c r="K26" s="7"/>
      <c r="L26" s="7"/>
    </row>
    <row r="27" spans="1:12" x14ac:dyDescent="0.2">
      <c r="A27" s="373" t="s">
        <v>49</v>
      </c>
      <c r="B27" s="79">
        <v>1</v>
      </c>
      <c r="C27" s="82">
        <f t="shared" ref="C27:I38" si="0">+C3*(1+$J3)</f>
        <v>83.889623376000017</v>
      </c>
      <c r="D27" s="82">
        <f t="shared" si="0"/>
        <v>96.270460623999995</v>
      </c>
      <c r="E27" s="82">
        <f t="shared" si="0"/>
        <v>106.30035644800002</v>
      </c>
      <c r="F27" s="82">
        <f t="shared" si="0"/>
        <v>118.68119369599999</v>
      </c>
      <c r="G27" s="82">
        <f t="shared" si="0"/>
        <v>204.90994472</v>
      </c>
      <c r="H27" s="285">
        <f t="shared" si="0"/>
        <v>0</v>
      </c>
      <c r="I27" s="83">
        <f t="shared" si="0"/>
        <v>22.410733072000003</v>
      </c>
      <c r="J27" s="7"/>
      <c r="K27" s="7"/>
      <c r="L27" s="7"/>
    </row>
    <row r="28" spans="1:12" x14ac:dyDescent="0.2">
      <c r="A28" s="367"/>
      <c r="B28" s="63">
        <v>10</v>
      </c>
      <c r="C28" s="84">
        <f t="shared" si="0"/>
        <v>713.05589180800007</v>
      </c>
      <c r="D28" s="84">
        <f t="shared" si="0"/>
        <v>818.26938086400014</v>
      </c>
      <c r="E28" s="84">
        <f t="shared" si="0"/>
        <v>903.60028491200001</v>
      </c>
      <c r="F28" s="84">
        <f t="shared" si="0"/>
        <v>1008.801960192</v>
      </c>
      <c r="G28" s="84">
        <f t="shared" si="0"/>
        <v>1741.7404370080001</v>
      </c>
      <c r="H28" s="286">
        <f t="shared" si="0"/>
        <v>0</v>
      </c>
      <c r="I28" s="85">
        <f t="shared" si="0"/>
        <v>190.53257932800003</v>
      </c>
      <c r="J28" s="7"/>
      <c r="K28" s="7"/>
      <c r="L28" s="7"/>
    </row>
    <row r="29" spans="1:12" ht="16" thickBot="1" x14ac:dyDescent="0.25">
      <c r="A29" s="368"/>
      <c r="B29" s="64">
        <v>20</v>
      </c>
      <c r="C29" s="86">
        <f t="shared" si="0"/>
        <v>1258.3443506400001</v>
      </c>
      <c r="D29" s="86">
        <f t="shared" si="0"/>
        <v>1443.9978404800001</v>
      </c>
      <c r="E29" s="86">
        <f t="shared" si="0"/>
        <v>1594.5762293759999</v>
      </c>
      <c r="F29" s="86">
        <f t="shared" si="0"/>
        <v>1780.241532992</v>
      </c>
      <c r="G29" s="86">
        <f t="shared" si="0"/>
        <v>3073.6491708000003</v>
      </c>
      <c r="H29" s="287">
        <f t="shared" si="0"/>
        <v>0</v>
      </c>
      <c r="I29" s="87">
        <f t="shared" si="0"/>
        <v>336.24369251200005</v>
      </c>
      <c r="J29" s="7"/>
      <c r="K29" s="7"/>
      <c r="L29" s="7"/>
    </row>
    <row r="30" spans="1:12" x14ac:dyDescent="0.2">
      <c r="A30" s="373" t="s">
        <v>81</v>
      </c>
      <c r="B30" s="79">
        <v>1</v>
      </c>
      <c r="C30" s="88">
        <f t="shared" si="0"/>
        <v>386.28</v>
      </c>
      <c r="D30" s="88">
        <f t="shared" si="0"/>
        <v>525.77</v>
      </c>
      <c r="E30" s="88">
        <f t="shared" si="0"/>
        <v>525.77</v>
      </c>
      <c r="F30" s="88">
        <f t="shared" si="0"/>
        <v>665.26</v>
      </c>
      <c r="G30" s="88">
        <f t="shared" si="0"/>
        <v>1126.6499999999999</v>
      </c>
      <c r="H30" s="288">
        <f t="shared" ref="H30" si="1">+H6*(1+$J6)</f>
        <v>461.39</v>
      </c>
      <c r="I30" s="89">
        <f t="shared" si="0"/>
        <v>139.48999999999998</v>
      </c>
      <c r="J30" s="7"/>
      <c r="K30" s="7"/>
      <c r="L30" s="7"/>
    </row>
    <row r="31" spans="1:12" x14ac:dyDescent="0.2">
      <c r="A31" s="367"/>
      <c r="B31" s="63">
        <v>10</v>
      </c>
      <c r="C31" s="90">
        <f t="shared" si="0"/>
        <v>3283.3799999999997</v>
      </c>
      <c r="D31" s="90">
        <f t="shared" si="0"/>
        <v>4469.0450000000001</v>
      </c>
      <c r="E31" s="90">
        <f t="shared" si="0"/>
        <v>4469.0450000000001</v>
      </c>
      <c r="F31" s="90">
        <f t="shared" si="0"/>
        <v>5654.71</v>
      </c>
      <c r="G31" s="90">
        <f t="shared" si="0"/>
        <v>9576.5249999999996</v>
      </c>
      <c r="H31" s="289">
        <f t="shared" ref="H31" si="2">+H7*(1+$J7)</f>
        <v>3921.8150000000001</v>
      </c>
      <c r="I31" s="91">
        <f t="shared" si="0"/>
        <v>1185.665</v>
      </c>
      <c r="J31" s="7"/>
      <c r="K31" s="7"/>
      <c r="L31" s="7"/>
    </row>
    <row r="32" spans="1:12" ht="16" thickBot="1" x14ac:dyDescent="0.25">
      <c r="A32" s="368"/>
      <c r="B32" s="64">
        <v>20</v>
      </c>
      <c r="C32" s="92">
        <f t="shared" si="0"/>
        <v>5794.2</v>
      </c>
      <c r="D32" s="92">
        <f t="shared" si="0"/>
        <v>7886.5499999999993</v>
      </c>
      <c r="E32" s="92">
        <f t="shared" si="0"/>
        <v>7886.5499999999993</v>
      </c>
      <c r="F32" s="92">
        <f t="shared" si="0"/>
        <v>9978.9</v>
      </c>
      <c r="G32" s="92">
        <f t="shared" si="0"/>
        <v>16899.75</v>
      </c>
      <c r="H32" s="290">
        <f t="shared" ref="H32" si="3">+H8*(1+$J8)</f>
        <v>6920.8499999999995</v>
      </c>
      <c r="I32" s="93">
        <f t="shared" si="0"/>
        <v>2092.35</v>
      </c>
      <c r="J32" s="7"/>
      <c r="K32" s="7"/>
      <c r="L32" s="7"/>
    </row>
    <row r="33" spans="1:12" x14ac:dyDescent="0.2">
      <c r="A33" s="373" t="s">
        <v>82</v>
      </c>
      <c r="B33" s="79">
        <v>1</v>
      </c>
      <c r="C33" s="94">
        <f t="shared" si="0"/>
        <v>32123.88</v>
      </c>
      <c r="D33" s="94">
        <f t="shared" si="0"/>
        <v>41488.560000000005</v>
      </c>
      <c r="E33" s="94">
        <f t="shared" si="0"/>
        <v>40141.800000000003</v>
      </c>
      <c r="F33" s="94">
        <f t="shared" si="0"/>
        <v>49506.48</v>
      </c>
      <c r="G33" s="94">
        <f t="shared" si="0"/>
        <v>0</v>
      </c>
      <c r="H33" s="94">
        <f t="shared" si="0"/>
        <v>0</v>
      </c>
      <c r="I33" s="95">
        <f t="shared" si="0"/>
        <v>8023.14</v>
      </c>
      <c r="J33" s="7"/>
      <c r="K33" s="7"/>
      <c r="L33" s="7"/>
    </row>
    <row r="34" spans="1:12" x14ac:dyDescent="0.2">
      <c r="A34" s="367"/>
      <c r="B34" s="63">
        <v>10</v>
      </c>
      <c r="C34" s="96">
        <f t="shared" si="0"/>
        <v>192743.28</v>
      </c>
      <c r="D34" s="96">
        <f t="shared" si="0"/>
        <v>248931.36000000002</v>
      </c>
      <c r="E34" s="96">
        <f t="shared" si="0"/>
        <v>240850.80000000002</v>
      </c>
      <c r="F34" s="96">
        <f t="shared" si="0"/>
        <v>297038.88</v>
      </c>
      <c r="G34" s="96">
        <f t="shared" si="0"/>
        <v>0</v>
      </c>
      <c r="H34" s="96">
        <f t="shared" si="0"/>
        <v>0</v>
      </c>
      <c r="I34" s="97">
        <f t="shared" si="0"/>
        <v>48128.4</v>
      </c>
      <c r="J34" s="7"/>
      <c r="K34" s="7"/>
      <c r="L34" s="7"/>
    </row>
    <row r="35" spans="1:12" x14ac:dyDescent="0.2">
      <c r="A35" s="374"/>
      <c r="B35" s="98">
        <v>20</v>
      </c>
      <c r="C35" s="99">
        <f t="shared" si="0"/>
        <v>321238.8</v>
      </c>
      <c r="D35" s="99">
        <f t="shared" si="0"/>
        <v>414885.60000000003</v>
      </c>
      <c r="E35" s="99">
        <f t="shared" si="0"/>
        <v>401418</v>
      </c>
      <c r="F35" s="99">
        <f>+F11*(1+$J11)</f>
        <v>495064.80000000005</v>
      </c>
      <c r="G35" s="99">
        <f t="shared" si="0"/>
        <v>0</v>
      </c>
      <c r="H35" s="99">
        <f t="shared" si="0"/>
        <v>0</v>
      </c>
      <c r="I35" s="100">
        <f t="shared" si="0"/>
        <v>80215.740000000005</v>
      </c>
      <c r="J35" s="7"/>
      <c r="K35" s="7"/>
      <c r="L35" s="7"/>
    </row>
    <row r="36" spans="1:12" x14ac:dyDescent="0.2">
      <c r="A36" s="367" t="s">
        <v>83</v>
      </c>
      <c r="B36" s="63">
        <v>10</v>
      </c>
      <c r="C36" s="96"/>
      <c r="D36" s="96"/>
      <c r="E36" s="96"/>
      <c r="F36" s="96"/>
      <c r="G36" s="96"/>
      <c r="H36" s="96"/>
      <c r="I36" s="97">
        <f t="shared" si="0"/>
        <v>12037.32</v>
      </c>
      <c r="J36" s="7"/>
      <c r="K36" s="7"/>
      <c r="L36" s="7"/>
    </row>
    <row r="37" spans="1:12" ht="16" thickBot="1" x14ac:dyDescent="0.25">
      <c r="A37" s="368"/>
      <c r="B37" s="64">
        <v>20</v>
      </c>
      <c r="C37" s="101"/>
      <c r="D37" s="101"/>
      <c r="E37" s="101"/>
      <c r="F37" s="101"/>
      <c r="G37" s="101"/>
      <c r="H37" s="101"/>
      <c r="I37" s="97">
        <f t="shared" si="0"/>
        <v>20060.46</v>
      </c>
      <c r="J37" s="7"/>
      <c r="K37" s="7"/>
      <c r="L37" s="7"/>
    </row>
    <row r="38" spans="1:12" x14ac:dyDescent="0.2">
      <c r="A38" s="367" t="s">
        <v>84</v>
      </c>
      <c r="B38" s="63">
        <v>1</v>
      </c>
      <c r="C38" s="102">
        <f t="shared" ref="C38:I46" si="4">+C14*(1+$J14)</f>
        <v>2236.5499999999997</v>
      </c>
      <c r="D38" s="102">
        <f t="shared" si="4"/>
        <v>2798.2499999999995</v>
      </c>
      <c r="E38" s="102">
        <f t="shared" si="4"/>
        <v>3695.1249999999995</v>
      </c>
      <c r="F38" s="102">
        <f t="shared" si="4"/>
        <v>4255.7999999999993</v>
      </c>
      <c r="G38" s="102">
        <f t="shared" si="4"/>
        <v>5055.2999999999993</v>
      </c>
      <c r="H38" s="291">
        <v>0</v>
      </c>
      <c r="I38" s="294">
        <f t="shared" si="0"/>
        <v>0</v>
      </c>
      <c r="J38" s="104"/>
      <c r="K38" s="7"/>
      <c r="L38" s="7"/>
    </row>
    <row r="39" spans="1:12" x14ac:dyDescent="0.2">
      <c r="A39" s="367"/>
      <c r="B39" s="63">
        <v>5</v>
      </c>
      <c r="C39" s="102">
        <f t="shared" si="4"/>
        <v>10064.474999999999</v>
      </c>
      <c r="D39" s="102">
        <f t="shared" si="4"/>
        <v>12592.124999999998</v>
      </c>
      <c r="E39" s="102">
        <f t="shared" si="4"/>
        <v>16628.0625</v>
      </c>
      <c r="F39" s="102">
        <f t="shared" si="4"/>
        <v>19151.099999999999</v>
      </c>
      <c r="G39" s="102">
        <f t="shared" si="4"/>
        <v>22745.774999999998</v>
      </c>
      <c r="H39" s="292">
        <v>0</v>
      </c>
      <c r="I39" s="295">
        <f t="shared" ref="I39" si="5">+I15*(1+$J15)</f>
        <v>0</v>
      </c>
      <c r="J39" s="104"/>
      <c r="K39" s="7"/>
      <c r="L39" s="7"/>
    </row>
    <row r="40" spans="1:12" ht="16" thickBot="1" x14ac:dyDescent="0.25">
      <c r="A40" s="368"/>
      <c r="B40" s="64">
        <v>10</v>
      </c>
      <c r="C40" s="106">
        <f t="shared" si="4"/>
        <v>19010.674999999999</v>
      </c>
      <c r="D40" s="106">
        <f t="shared" si="4"/>
        <v>23785.124999999996</v>
      </c>
      <c r="E40" s="106">
        <f t="shared" si="4"/>
        <v>31408.562499999996</v>
      </c>
      <c r="F40" s="106">
        <f t="shared" si="4"/>
        <v>36174.299999999996</v>
      </c>
      <c r="G40" s="106">
        <f t="shared" si="4"/>
        <v>42962.874999999993</v>
      </c>
      <c r="H40" s="293">
        <v>0</v>
      </c>
      <c r="I40" s="296">
        <f t="shared" ref="I40" si="6">+I16*(1+$J16)</f>
        <v>0</v>
      </c>
      <c r="J40" s="104"/>
      <c r="K40" s="7"/>
      <c r="L40" s="7"/>
    </row>
    <row r="41" spans="1:12" x14ac:dyDescent="0.2">
      <c r="A41" s="367" t="s">
        <v>85</v>
      </c>
      <c r="B41" s="63">
        <v>1</v>
      </c>
      <c r="C41" s="82">
        <f t="shared" si="4"/>
        <v>67.802530487999988</v>
      </c>
      <c r="D41" s="82">
        <f t="shared" si="4"/>
        <v>79.294484808000007</v>
      </c>
      <c r="E41" s="82">
        <f t="shared" si="4"/>
        <v>90.786439127999998</v>
      </c>
      <c r="F41" s="82">
        <f t="shared" si="4"/>
        <v>102.278393448</v>
      </c>
      <c r="G41" s="82">
        <f t="shared" si="4"/>
        <v>0</v>
      </c>
      <c r="H41" s="82">
        <f t="shared" si="4"/>
        <v>0</v>
      </c>
      <c r="I41" s="83">
        <f t="shared" si="4"/>
        <v>79.294484808000007</v>
      </c>
      <c r="J41" s="104"/>
      <c r="K41" s="7"/>
      <c r="L41" s="7"/>
    </row>
    <row r="42" spans="1:12" x14ac:dyDescent="0.2">
      <c r="A42" s="367"/>
      <c r="B42" s="63">
        <v>5</v>
      </c>
      <c r="C42" s="84">
        <f t="shared" si="4"/>
        <v>321.77472096000002</v>
      </c>
      <c r="D42" s="84">
        <f t="shared" si="4"/>
        <v>376.93610169599998</v>
      </c>
      <c r="E42" s="84">
        <f t="shared" si="4"/>
        <v>430.94828699999994</v>
      </c>
      <c r="F42" s="84">
        <f t="shared" si="4"/>
        <v>486.10966773600001</v>
      </c>
      <c r="G42" s="84">
        <f t="shared" si="4"/>
        <v>0</v>
      </c>
      <c r="H42" s="84">
        <f t="shared" si="4"/>
        <v>0</v>
      </c>
      <c r="I42" s="85">
        <f t="shared" si="4"/>
        <v>376.93610169599998</v>
      </c>
      <c r="J42" s="104"/>
      <c r="K42" s="7"/>
      <c r="L42" s="7"/>
    </row>
    <row r="43" spans="1:12" ht="16" thickBot="1" x14ac:dyDescent="0.25">
      <c r="A43" s="368"/>
      <c r="B43" s="64">
        <v>10</v>
      </c>
      <c r="C43" s="86">
        <f t="shared" si="4"/>
        <v>610.22277439200002</v>
      </c>
      <c r="D43" s="86">
        <f t="shared" si="4"/>
        <v>713.65036327199994</v>
      </c>
      <c r="E43" s="86">
        <f t="shared" si="4"/>
        <v>817.07795215200008</v>
      </c>
      <c r="F43" s="86">
        <f t="shared" si="4"/>
        <v>920.505541032</v>
      </c>
      <c r="G43" s="86">
        <f t="shared" si="4"/>
        <v>0</v>
      </c>
      <c r="H43" s="86">
        <f t="shared" si="4"/>
        <v>0</v>
      </c>
      <c r="I43" s="87">
        <f t="shared" si="4"/>
        <v>713.65036327199994</v>
      </c>
      <c r="J43" s="104"/>
      <c r="K43" s="7"/>
      <c r="L43" s="7"/>
    </row>
    <row r="44" spans="1:12" x14ac:dyDescent="0.2">
      <c r="A44" s="367" t="s">
        <v>87</v>
      </c>
      <c r="B44" s="50">
        <v>1</v>
      </c>
      <c r="C44" s="82">
        <f t="shared" si="4"/>
        <v>65.015012999999982</v>
      </c>
      <c r="D44" s="82">
        <f t="shared" si="4"/>
        <v>86.686684</v>
      </c>
      <c r="E44" s="82">
        <f t="shared" si="4"/>
        <v>86.686684</v>
      </c>
      <c r="F44" s="82">
        <f t="shared" si="4"/>
        <v>92.104601749999986</v>
      </c>
      <c r="G44" s="82">
        <f t="shared" si="4"/>
        <v>0</v>
      </c>
      <c r="H44" s="82">
        <f t="shared" si="4"/>
        <v>0</v>
      </c>
      <c r="I44" s="297">
        <f t="shared" si="4"/>
        <v>0</v>
      </c>
      <c r="J44" s="104"/>
      <c r="K44" s="7"/>
      <c r="L44" s="7"/>
    </row>
    <row r="45" spans="1:12" x14ac:dyDescent="0.2">
      <c r="A45" s="367"/>
      <c r="B45" s="50">
        <v>10</v>
      </c>
      <c r="C45" s="84">
        <f t="shared" si="4"/>
        <v>541.79177499999992</v>
      </c>
      <c r="D45" s="84">
        <f t="shared" si="4"/>
        <v>639.31429449999996</v>
      </c>
      <c r="E45" s="84">
        <f t="shared" si="4"/>
        <v>726.00097849999986</v>
      </c>
      <c r="F45" s="84">
        <f t="shared" si="4"/>
        <v>758.50848499999995</v>
      </c>
      <c r="G45" s="84">
        <f t="shared" si="4"/>
        <v>0</v>
      </c>
      <c r="H45" s="84">
        <f t="shared" si="4"/>
        <v>0</v>
      </c>
      <c r="I45" s="298">
        <f t="shared" ref="I45" si="7">+I21*(1+$J21)</f>
        <v>0</v>
      </c>
      <c r="J45" s="104"/>
      <c r="K45" s="7"/>
      <c r="L45" s="7"/>
    </row>
    <row r="46" spans="1:12" ht="16" thickBot="1" x14ac:dyDescent="0.25">
      <c r="A46" s="368"/>
      <c r="B46" s="51">
        <v>20</v>
      </c>
      <c r="C46" s="86">
        <f t="shared" si="4"/>
        <v>975.22519499999987</v>
      </c>
      <c r="D46" s="86">
        <f t="shared" si="4"/>
        <v>1083.5835499999998</v>
      </c>
      <c r="E46" s="86">
        <f t="shared" si="4"/>
        <v>1191.9419049999999</v>
      </c>
      <c r="F46" s="86">
        <f t="shared" si="4"/>
        <v>1300.3002599999998</v>
      </c>
      <c r="G46" s="86">
        <f t="shared" si="4"/>
        <v>0</v>
      </c>
      <c r="H46" s="86">
        <f t="shared" si="4"/>
        <v>0</v>
      </c>
      <c r="I46" s="299">
        <f t="shared" ref="I46" si="8">+I22*(1+$J22)</f>
        <v>0</v>
      </c>
      <c r="J46" s="104"/>
      <c r="K46" s="7"/>
      <c r="L46" s="7"/>
    </row>
    <row r="47" spans="1:12" ht="16" thickBot="1" x14ac:dyDescent="0.25">
      <c r="A47" s="75"/>
      <c r="B47" s="76"/>
      <c r="C47" s="75"/>
      <c r="D47" s="75"/>
      <c r="E47" s="75"/>
      <c r="F47" s="75"/>
      <c r="G47" s="75"/>
      <c r="H47" s="75"/>
      <c r="I47" s="75"/>
      <c r="J47" s="77"/>
      <c r="K47" s="7"/>
      <c r="L47" s="7"/>
    </row>
    <row r="48" spans="1:12" x14ac:dyDescent="0.2">
      <c r="A48" s="344" t="s">
        <v>144</v>
      </c>
      <c r="B48" s="345"/>
      <c r="C48" s="345"/>
      <c r="D48" s="345"/>
      <c r="E48" s="345"/>
      <c r="F48" s="345"/>
      <c r="G48" s="345"/>
      <c r="H48" s="345"/>
      <c r="I48" s="346"/>
      <c r="J48" s="75"/>
      <c r="K48" s="7"/>
      <c r="L48" s="7"/>
    </row>
    <row r="49" spans="1:17" ht="17" thickBot="1" x14ac:dyDescent="0.25">
      <c r="A49" s="81"/>
      <c r="B49" s="64" t="s">
        <v>71</v>
      </c>
      <c r="C49" s="64" t="s">
        <v>72</v>
      </c>
      <c r="D49" s="64" t="s">
        <v>73</v>
      </c>
      <c r="E49" s="64" t="s">
        <v>74</v>
      </c>
      <c r="F49" s="64" t="s">
        <v>75</v>
      </c>
      <c r="G49" s="64" t="s">
        <v>76</v>
      </c>
      <c r="H49" s="51" t="s">
        <v>77</v>
      </c>
      <c r="I49" s="52" t="s">
        <v>78</v>
      </c>
      <c r="J49" s="77"/>
      <c r="K49" s="7"/>
      <c r="L49" s="7"/>
    </row>
    <row r="50" spans="1:17" x14ac:dyDescent="0.2">
      <c r="A50" s="373" t="s">
        <v>49</v>
      </c>
      <c r="B50" s="79">
        <v>1</v>
      </c>
      <c r="C50" s="82">
        <f t="shared" ref="C50:I52" si="9">+C27</f>
        <v>83.889623376000017</v>
      </c>
      <c r="D50" s="82">
        <f t="shared" si="9"/>
        <v>96.270460623999995</v>
      </c>
      <c r="E50" s="82">
        <f t="shared" si="9"/>
        <v>106.30035644800002</v>
      </c>
      <c r="F50" s="82">
        <f t="shared" si="9"/>
        <v>118.68119369599999</v>
      </c>
      <c r="G50" s="82">
        <f t="shared" si="9"/>
        <v>204.90994472</v>
      </c>
      <c r="H50" s="285">
        <f t="shared" si="9"/>
        <v>0</v>
      </c>
      <c r="I50" s="297">
        <f t="shared" si="9"/>
        <v>22.410733072000003</v>
      </c>
      <c r="J50" s="77"/>
      <c r="K50" s="7"/>
      <c r="L50" s="7"/>
    </row>
    <row r="51" spans="1:17" x14ac:dyDescent="0.2">
      <c r="A51" s="367"/>
      <c r="B51" s="63">
        <v>10</v>
      </c>
      <c r="C51" s="84">
        <f t="shared" si="9"/>
        <v>713.05589180800007</v>
      </c>
      <c r="D51" s="84">
        <f t="shared" si="9"/>
        <v>818.26938086400014</v>
      </c>
      <c r="E51" s="84">
        <f t="shared" si="9"/>
        <v>903.60028491200001</v>
      </c>
      <c r="F51" s="84">
        <f t="shared" si="9"/>
        <v>1008.801960192</v>
      </c>
      <c r="G51" s="84">
        <f t="shared" si="9"/>
        <v>1741.7404370080001</v>
      </c>
      <c r="H51" s="286">
        <f t="shared" si="9"/>
        <v>0</v>
      </c>
      <c r="I51" s="298">
        <f t="shared" si="9"/>
        <v>190.53257932800003</v>
      </c>
      <c r="J51" s="77"/>
      <c r="K51" s="7"/>
      <c r="L51" s="7"/>
    </row>
    <row r="52" spans="1:17" ht="16" thickBot="1" x14ac:dyDescent="0.25">
      <c r="A52" s="368"/>
      <c r="B52" s="64">
        <v>20</v>
      </c>
      <c r="C52" s="86">
        <f t="shared" si="9"/>
        <v>1258.3443506400001</v>
      </c>
      <c r="D52" s="86">
        <f t="shared" si="9"/>
        <v>1443.9978404800001</v>
      </c>
      <c r="E52" s="86">
        <f t="shared" si="9"/>
        <v>1594.5762293759999</v>
      </c>
      <c r="F52" s="86">
        <f t="shared" si="9"/>
        <v>1780.241532992</v>
      </c>
      <c r="G52" s="86">
        <f t="shared" si="9"/>
        <v>3073.6491708000003</v>
      </c>
      <c r="H52" s="287">
        <f t="shared" si="9"/>
        <v>0</v>
      </c>
      <c r="I52" s="299">
        <f t="shared" si="9"/>
        <v>336.24369251200005</v>
      </c>
      <c r="J52" s="77"/>
      <c r="K52" s="7"/>
      <c r="L52" s="7"/>
    </row>
    <row r="53" spans="1:17" x14ac:dyDescent="0.2">
      <c r="A53" s="373" t="s">
        <v>81</v>
      </c>
      <c r="B53" s="79">
        <v>1</v>
      </c>
      <c r="C53" s="209">
        <f t="shared" ref="C53:I53" si="10">_xlfn.CEILING.MATH(ROUND(C30,-1),10)</f>
        <v>390</v>
      </c>
      <c r="D53" s="209">
        <f t="shared" si="10"/>
        <v>530</v>
      </c>
      <c r="E53" s="209">
        <f t="shared" si="10"/>
        <v>530</v>
      </c>
      <c r="F53" s="209">
        <f t="shared" si="10"/>
        <v>670</v>
      </c>
      <c r="G53" s="209">
        <f t="shared" si="10"/>
        <v>1130</v>
      </c>
      <c r="H53" s="300">
        <f t="shared" si="10"/>
        <v>460</v>
      </c>
      <c r="I53" s="301">
        <f t="shared" si="10"/>
        <v>140</v>
      </c>
      <c r="J53" s="77"/>
      <c r="K53" s="7"/>
      <c r="L53" s="7"/>
    </row>
    <row r="54" spans="1:17" x14ac:dyDescent="0.2">
      <c r="A54" s="367"/>
      <c r="B54" s="63">
        <v>10</v>
      </c>
      <c r="C54" s="210">
        <f>(C53*10)*85%</f>
        <v>3315</v>
      </c>
      <c r="D54" s="210">
        <f>(D53*10)*85%</f>
        <v>4505</v>
      </c>
      <c r="E54" s="210">
        <f>(E53*10)*85%</f>
        <v>4505</v>
      </c>
      <c r="F54" s="210">
        <f>(F53*10)*85%</f>
        <v>5695</v>
      </c>
      <c r="G54" s="210">
        <f t="shared" ref="G54:I54" si="11">(G53*10)*85%</f>
        <v>9605</v>
      </c>
      <c r="H54" s="302">
        <f t="shared" si="11"/>
        <v>3910</v>
      </c>
      <c r="I54" s="303">
        <f t="shared" si="11"/>
        <v>1190</v>
      </c>
      <c r="J54" s="77"/>
      <c r="K54" s="7"/>
      <c r="L54" s="7"/>
    </row>
    <row r="55" spans="1:17" ht="16" thickBot="1" x14ac:dyDescent="0.25">
      <c r="A55" s="368"/>
      <c r="B55" s="64">
        <v>20</v>
      </c>
      <c r="C55" s="211">
        <f>(C53*20)*75%</f>
        <v>5850</v>
      </c>
      <c r="D55" s="211">
        <f t="shared" ref="D55:I55" si="12">(D53*20)*75%</f>
        <v>7950</v>
      </c>
      <c r="E55" s="211">
        <f t="shared" si="12"/>
        <v>7950</v>
      </c>
      <c r="F55" s="211">
        <f t="shared" si="12"/>
        <v>10050</v>
      </c>
      <c r="G55" s="211">
        <f t="shared" si="12"/>
        <v>16950</v>
      </c>
      <c r="H55" s="304">
        <f t="shared" si="12"/>
        <v>6900</v>
      </c>
      <c r="I55" s="305">
        <f t="shared" si="12"/>
        <v>2100</v>
      </c>
      <c r="J55" s="77"/>
      <c r="K55" s="7"/>
      <c r="L55" s="7"/>
    </row>
    <row r="56" spans="1:17" x14ac:dyDescent="0.2">
      <c r="A56" s="373" t="s">
        <v>82</v>
      </c>
      <c r="B56" s="79">
        <v>1</v>
      </c>
      <c r="C56" s="94">
        <f>IF(MID(ROUNDDOWN(C33,0),LEN(ROUNDDOWN(C33,0)),1)="5",ROUNDDOWN(C33,0),ROUND(ROUNDDOWN(C33,0),-1))</f>
        <v>32120</v>
      </c>
      <c r="D56" s="94">
        <f>IF(MID(ROUNDDOWN(D33,0),LEN(ROUNDDOWN(D33,0)),1)="5",ROUNDDOWN(D33,0),ROUND(ROUNDDOWN(D33,0),-1))</f>
        <v>41490</v>
      </c>
      <c r="E56" s="94">
        <f>IF(MID(ROUNDDOWN(E33,0),LEN(ROUNDDOWN(E33,0)),1)="5",ROUNDDOWN(E33,0),ROUND(ROUNDDOWN(E33,0),-1))</f>
        <v>40140</v>
      </c>
      <c r="F56" s="94">
        <f>IF(MID(ROUNDDOWN(F33,0),LEN(ROUNDDOWN(F33,0)),1)="5",ROUNDDOWN(F33,0),ROUND(ROUNDDOWN(F33,0),-1))</f>
        <v>49510</v>
      </c>
      <c r="G56" s="94">
        <f t="shared" ref="G56:I58" si="13">+_xlfn.CEILING.MATH(G33,5)</f>
        <v>0</v>
      </c>
      <c r="H56" s="306">
        <f t="shared" si="13"/>
        <v>0</v>
      </c>
      <c r="I56" s="307">
        <f t="shared" si="13"/>
        <v>8025</v>
      </c>
      <c r="J56" s="77"/>
      <c r="K56" s="7"/>
      <c r="L56" s="7"/>
    </row>
    <row r="57" spans="1:17" x14ac:dyDescent="0.2">
      <c r="A57" s="367"/>
      <c r="B57" s="63">
        <v>10</v>
      </c>
      <c r="C57" s="96">
        <f>(C56*10)*60%</f>
        <v>192720</v>
      </c>
      <c r="D57" s="96">
        <f t="shared" ref="D57:F57" si="14">(D56*10)*60%</f>
        <v>248940</v>
      </c>
      <c r="E57" s="96">
        <f t="shared" si="14"/>
        <v>240840</v>
      </c>
      <c r="F57" s="96">
        <f t="shared" si="14"/>
        <v>297060</v>
      </c>
      <c r="G57" s="96">
        <f t="shared" si="13"/>
        <v>0</v>
      </c>
      <c r="H57" s="308">
        <f t="shared" si="13"/>
        <v>0</v>
      </c>
      <c r="I57" s="309">
        <f t="shared" si="13"/>
        <v>48130</v>
      </c>
      <c r="J57" s="77"/>
      <c r="K57" s="7"/>
      <c r="L57" s="7"/>
    </row>
    <row r="58" spans="1:17" x14ac:dyDescent="0.2">
      <c r="A58" s="374"/>
      <c r="B58" s="98">
        <v>20</v>
      </c>
      <c r="C58" s="99">
        <f>(C56*20)*50%</f>
        <v>321200</v>
      </c>
      <c r="D58" s="99">
        <f t="shared" ref="D58:F58" si="15">(D56*20)*50%</f>
        <v>414900</v>
      </c>
      <c r="E58" s="99">
        <f t="shared" si="15"/>
        <v>401400</v>
      </c>
      <c r="F58" s="99">
        <f t="shared" si="15"/>
        <v>495100</v>
      </c>
      <c r="G58" s="99">
        <f t="shared" si="13"/>
        <v>0</v>
      </c>
      <c r="H58" s="310">
        <f t="shared" si="13"/>
        <v>0</v>
      </c>
      <c r="I58" s="311">
        <f t="shared" si="13"/>
        <v>80220</v>
      </c>
      <c r="J58" s="77"/>
      <c r="K58" s="7"/>
      <c r="L58" s="7"/>
    </row>
    <row r="59" spans="1:17" x14ac:dyDescent="0.2">
      <c r="A59" s="367" t="s">
        <v>83</v>
      </c>
      <c r="B59" s="63">
        <v>10</v>
      </c>
      <c r="C59" s="96">
        <f t="shared" ref="C59:E59" si="16">+_xlfn.CEILING.MATH(C36,5)</f>
        <v>0</v>
      </c>
      <c r="D59" s="96">
        <f t="shared" si="16"/>
        <v>0</v>
      </c>
      <c r="E59" s="96">
        <f t="shared" si="16"/>
        <v>0</v>
      </c>
      <c r="F59" s="96">
        <f>+_xlfn.CEILING.MATH(F36,5)</f>
        <v>0</v>
      </c>
      <c r="G59" s="96"/>
      <c r="H59" s="312"/>
      <c r="I59" s="313">
        <f>+_xlfn.CEILING.MATH(I36,5)</f>
        <v>12040</v>
      </c>
      <c r="J59" s="212"/>
      <c r="K59" s="212"/>
      <c r="L59" s="212"/>
      <c r="M59" s="212"/>
      <c r="N59" s="212"/>
      <c r="O59" s="212"/>
      <c r="P59" s="212"/>
      <c r="Q59" s="212"/>
    </row>
    <row r="60" spans="1:17" ht="16" thickBot="1" x14ac:dyDescent="0.25">
      <c r="A60" s="368"/>
      <c r="B60" s="64">
        <v>20</v>
      </c>
      <c r="C60" s="101">
        <f t="shared" ref="C60:F60" si="17">+_xlfn.CEILING.MATH(C37,5)</f>
        <v>0</v>
      </c>
      <c r="D60" s="101">
        <f t="shared" si="17"/>
        <v>0</v>
      </c>
      <c r="E60" s="101">
        <f t="shared" si="17"/>
        <v>0</v>
      </c>
      <c r="F60" s="101">
        <f t="shared" si="17"/>
        <v>0</v>
      </c>
      <c r="G60" s="101"/>
      <c r="H60" s="314"/>
      <c r="I60" s="315">
        <f>+_xlfn.CEILING.MATH(I37,5)</f>
        <v>20065</v>
      </c>
      <c r="J60" s="212"/>
      <c r="K60" s="212"/>
      <c r="L60" s="212"/>
      <c r="M60" s="212"/>
      <c r="N60" s="212"/>
      <c r="O60" s="212"/>
      <c r="P60" s="212"/>
      <c r="Q60" s="212"/>
    </row>
    <row r="61" spans="1:17" x14ac:dyDescent="0.2">
      <c r="A61" s="367" t="s">
        <v>84</v>
      </c>
      <c r="B61" s="63">
        <v>1</v>
      </c>
      <c r="C61" s="102">
        <f t="shared" ref="C61:I63" si="18">+_xlfn.CEILING.MATH(C38,1)</f>
        <v>2237</v>
      </c>
      <c r="D61" s="102">
        <f t="shared" si="18"/>
        <v>2799</v>
      </c>
      <c r="E61" s="102">
        <f t="shared" si="18"/>
        <v>3696</v>
      </c>
      <c r="F61" s="102">
        <f t="shared" si="18"/>
        <v>4256</v>
      </c>
      <c r="G61" s="102">
        <f t="shared" si="18"/>
        <v>5056</v>
      </c>
      <c r="H61" s="291">
        <f t="shared" si="18"/>
        <v>0</v>
      </c>
      <c r="I61" s="295">
        <f t="shared" si="18"/>
        <v>0</v>
      </c>
      <c r="J61" s="77"/>
      <c r="K61" s="7"/>
      <c r="L61" s="7"/>
    </row>
    <row r="62" spans="1:17" x14ac:dyDescent="0.2">
      <c r="A62" s="367"/>
      <c r="B62" s="63">
        <v>5</v>
      </c>
      <c r="C62" s="102">
        <f>(C61*5)*90%</f>
        <v>10066.5</v>
      </c>
      <c r="D62" s="102">
        <f t="shared" ref="D62:F62" si="19">(D61*5)*90%</f>
        <v>12595.5</v>
      </c>
      <c r="E62" s="102">
        <f t="shared" si="19"/>
        <v>16632</v>
      </c>
      <c r="F62" s="102">
        <f t="shared" si="19"/>
        <v>19152</v>
      </c>
      <c r="G62" s="102">
        <f t="shared" si="18"/>
        <v>22746</v>
      </c>
      <c r="H62" s="292">
        <f t="shared" si="18"/>
        <v>0</v>
      </c>
      <c r="I62" s="295">
        <f t="shared" si="18"/>
        <v>0</v>
      </c>
      <c r="J62" s="77"/>
      <c r="K62" s="7"/>
      <c r="L62" s="7"/>
    </row>
    <row r="63" spans="1:17" ht="16" thickBot="1" x14ac:dyDescent="0.25">
      <c r="A63" s="368"/>
      <c r="B63" s="64">
        <v>10</v>
      </c>
      <c r="C63" s="106">
        <f>(C61*10)*85%</f>
        <v>19014.5</v>
      </c>
      <c r="D63" s="106">
        <f t="shared" ref="D63:F63" si="20">(D61*10)*85%</f>
        <v>23791.5</v>
      </c>
      <c r="E63" s="106">
        <f t="shared" si="20"/>
        <v>31416</v>
      </c>
      <c r="F63" s="106">
        <f t="shared" si="20"/>
        <v>36176</v>
      </c>
      <c r="G63" s="106">
        <f t="shared" si="18"/>
        <v>42963</v>
      </c>
      <c r="H63" s="293">
        <f t="shared" si="18"/>
        <v>0</v>
      </c>
      <c r="I63" s="296">
        <f t="shared" si="18"/>
        <v>0</v>
      </c>
      <c r="J63" s="77"/>
      <c r="K63" s="7"/>
      <c r="L63" s="7"/>
    </row>
    <row r="64" spans="1:17" x14ac:dyDescent="0.2">
      <c r="A64" s="366" t="s">
        <v>85</v>
      </c>
      <c r="B64" s="108">
        <v>1</v>
      </c>
      <c r="C64" s="109">
        <f>+C41</f>
        <v>67.802530487999988</v>
      </c>
      <c r="D64" s="109">
        <f t="shared" ref="D64:I69" si="21">+D41</f>
        <v>79.294484808000007</v>
      </c>
      <c r="E64" s="109">
        <f t="shared" si="21"/>
        <v>90.786439127999998</v>
      </c>
      <c r="F64" s="109">
        <f t="shared" si="21"/>
        <v>102.278393448</v>
      </c>
      <c r="G64" s="109">
        <f t="shared" si="21"/>
        <v>0</v>
      </c>
      <c r="H64" s="285">
        <f t="shared" si="21"/>
        <v>0</v>
      </c>
      <c r="I64" s="297">
        <f t="shared" si="21"/>
        <v>79.294484808000007</v>
      </c>
      <c r="J64" s="77"/>
      <c r="K64" s="7"/>
      <c r="L64" s="7"/>
    </row>
    <row r="65" spans="1:12" x14ac:dyDescent="0.2">
      <c r="A65" s="367"/>
      <c r="B65" s="63">
        <v>5</v>
      </c>
      <c r="C65" s="84">
        <f>+C42</f>
        <v>321.77472096000002</v>
      </c>
      <c r="D65" s="84">
        <f t="shared" si="21"/>
        <v>376.93610169599998</v>
      </c>
      <c r="E65" s="84">
        <f t="shared" si="21"/>
        <v>430.94828699999994</v>
      </c>
      <c r="F65" s="84">
        <f t="shared" si="21"/>
        <v>486.10966773600001</v>
      </c>
      <c r="G65" s="84">
        <f t="shared" si="21"/>
        <v>0</v>
      </c>
      <c r="H65" s="286">
        <f t="shared" si="21"/>
        <v>0</v>
      </c>
      <c r="I65" s="298">
        <f t="shared" si="21"/>
        <v>376.93610169599998</v>
      </c>
      <c r="J65" s="77"/>
      <c r="K65" s="7"/>
      <c r="L65" s="7"/>
    </row>
    <row r="66" spans="1:12" ht="16" thickBot="1" x14ac:dyDescent="0.25">
      <c r="A66" s="368"/>
      <c r="B66" s="64">
        <v>10</v>
      </c>
      <c r="C66" s="86">
        <f>+C43</f>
        <v>610.22277439200002</v>
      </c>
      <c r="D66" s="86">
        <f t="shared" si="21"/>
        <v>713.65036327199994</v>
      </c>
      <c r="E66" s="86">
        <f t="shared" si="21"/>
        <v>817.07795215200008</v>
      </c>
      <c r="F66" s="86">
        <f t="shared" si="21"/>
        <v>920.505541032</v>
      </c>
      <c r="G66" s="86">
        <f t="shared" si="21"/>
        <v>0</v>
      </c>
      <c r="H66" s="287">
        <f t="shared" si="21"/>
        <v>0</v>
      </c>
      <c r="I66" s="299">
        <f t="shared" si="21"/>
        <v>713.65036327199994</v>
      </c>
      <c r="J66" s="77"/>
      <c r="K66" s="7"/>
      <c r="L66" s="7"/>
    </row>
    <row r="67" spans="1:12" x14ac:dyDescent="0.2">
      <c r="A67" s="367" t="s">
        <v>87</v>
      </c>
      <c r="B67" s="50">
        <v>1</v>
      </c>
      <c r="C67" s="109">
        <f>+C44</f>
        <v>65.015012999999982</v>
      </c>
      <c r="D67" s="109">
        <f t="shared" si="21"/>
        <v>86.686684</v>
      </c>
      <c r="E67" s="109">
        <f t="shared" si="21"/>
        <v>86.686684</v>
      </c>
      <c r="F67" s="109">
        <f t="shared" si="21"/>
        <v>92.104601749999986</v>
      </c>
      <c r="G67" s="82">
        <f t="shared" si="21"/>
        <v>0</v>
      </c>
      <c r="H67" s="316">
        <f t="shared" si="21"/>
        <v>0</v>
      </c>
      <c r="I67" s="297">
        <f t="shared" si="21"/>
        <v>0</v>
      </c>
      <c r="J67" s="213"/>
      <c r="K67" s="7"/>
      <c r="L67" s="7"/>
    </row>
    <row r="68" spans="1:12" x14ac:dyDescent="0.2">
      <c r="A68" s="367"/>
      <c r="B68" s="50">
        <v>10</v>
      </c>
      <c r="C68" s="84">
        <f t="shared" ref="C68:G69" si="22">+C45</f>
        <v>541.79177499999992</v>
      </c>
      <c r="D68" s="84">
        <f t="shared" si="22"/>
        <v>639.31429449999996</v>
      </c>
      <c r="E68" s="84">
        <f t="shared" si="22"/>
        <v>726.00097849999986</v>
      </c>
      <c r="F68" s="84">
        <f t="shared" si="22"/>
        <v>758.50848499999995</v>
      </c>
      <c r="G68" s="84">
        <f t="shared" si="22"/>
        <v>0</v>
      </c>
      <c r="H68" s="286">
        <f t="shared" si="21"/>
        <v>0</v>
      </c>
      <c r="I68" s="298">
        <f t="shared" si="21"/>
        <v>0</v>
      </c>
      <c r="J68" s="77"/>
      <c r="K68" s="7"/>
      <c r="L68" s="7"/>
    </row>
    <row r="69" spans="1:12" ht="16" thickBot="1" x14ac:dyDescent="0.25">
      <c r="A69" s="368"/>
      <c r="B69" s="51">
        <v>20</v>
      </c>
      <c r="C69" s="86">
        <f t="shared" si="22"/>
        <v>975.22519499999987</v>
      </c>
      <c r="D69" s="86">
        <f t="shared" si="22"/>
        <v>1083.5835499999998</v>
      </c>
      <c r="E69" s="86">
        <f t="shared" si="22"/>
        <v>1191.9419049999999</v>
      </c>
      <c r="F69" s="86">
        <f t="shared" si="22"/>
        <v>1300.3002599999998</v>
      </c>
      <c r="G69" s="86">
        <f t="shared" si="22"/>
        <v>0</v>
      </c>
      <c r="H69" s="287">
        <f t="shared" si="21"/>
        <v>0</v>
      </c>
      <c r="I69" s="299">
        <f t="shared" si="21"/>
        <v>0</v>
      </c>
      <c r="J69" s="77"/>
      <c r="K69" s="7"/>
      <c r="L69" s="7"/>
    </row>
    <row r="70" spans="1:12" x14ac:dyDescent="0.2">
      <c r="A70" s="110"/>
      <c r="B70" s="111"/>
      <c r="C70" s="102"/>
      <c r="D70" s="102"/>
      <c r="E70" s="102"/>
      <c r="F70" s="102"/>
      <c r="G70" s="102"/>
      <c r="H70" s="102"/>
      <c r="I70" s="102"/>
      <c r="J70" s="77"/>
      <c r="K70" s="7"/>
      <c r="L70" s="7"/>
    </row>
    <row r="71" spans="1:12" ht="16" thickBot="1" x14ac:dyDescent="0.25">
      <c r="A71" s="75"/>
      <c r="B71" s="76"/>
      <c r="C71" s="75"/>
      <c r="D71" s="75"/>
      <c r="E71" s="75"/>
      <c r="F71" s="75"/>
      <c r="G71" s="75"/>
      <c r="H71" s="75"/>
      <c r="I71" s="75"/>
      <c r="J71" s="77"/>
      <c r="K71" s="7"/>
      <c r="L71" s="7"/>
    </row>
    <row r="72" spans="1:12" x14ac:dyDescent="0.2">
      <c r="A72" s="344" t="s">
        <v>145</v>
      </c>
      <c r="B72" s="345"/>
      <c r="C72" s="345"/>
      <c r="D72" s="345"/>
      <c r="E72" s="345"/>
      <c r="F72" s="345"/>
      <c r="G72" s="345"/>
      <c r="H72" s="345"/>
      <c r="I72" s="346"/>
      <c r="J72" s="75"/>
      <c r="K72" s="7"/>
      <c r="L72" s="7"/>
    </row>
    <row r="73" spans="1:12" ht="17" thickBot="1" x14ac:dyDescent="0.25">
      <c r="A73" s="81"/>
      <c r="B73" s="64" t="s">
        <v>71</v>
      </c>
      <c r="C73" s="64" t="s">
        <v>72</v>
      </c>
      <c r="D73" s="64" t="s">
        <v>73</v>
      </c>
      <c r="E73" s="64" t="s">
        <v>74</v>
      </c>
      <c r="F73" s="64" t="s">
        <v>75</v>
      </c>
      <c r="G73" s="64" t="s">
        <v>76</v>
      </c>
      <c r="H73" s="51" t="s">
        <v>77</v>
      </c>
      <c r="I73" s="52" t="s">
        <v>78</v>
      </c>
      <c r="J73" s="77"/>
      <c r="K73" s="7"/>
      <c r="L73" s="7"/>
    </row>
    <row r="74" spans="1:12" x14ac:dyDescent="0.2">
      <c r="A74" s="365" t="s">
        <v>49</v>
      </c>
      <c r="B74" s="112">
        <v>1</v>
      </c>
      <c r="C74" s="113">
        <f t="shared" ref="C74:I82" si="23">+C50/$K3</f>
        <v>83.889623376000017</v>
      </c>
      <c r="D74" s="113">
        <f t="shared" si="23"/>
        <v>96.270460623999995</v>
      </c>
      <c r="E74" s="113">
        <f t="shared" si="23"/>
        <v>106.30035644800002</v>
      </c>
      <c r="F74" s="113">
        <f t="shared" si="23"/>
        <v>118.68119369599999</v>
      </c>
      <c r="G74" s="113">
        <f t="shared" si="23"/>
        <v>204.90994472</v>
      </c>
      <c r="H74" s="113">
        <f t="shared" si="23"/>
        <v>0</v>
      </c>
      <c r="I74" s="114">
        <f t="shared" si="23"/>
        <v>22.410733072000003</v>
      </c>
      <c r="J74" s="218"/>
      <c r="K74" s="7"/>
      <c r="L74" s="7"/>
    </row>
    <row r="75" spans="1:12" x14ac:dyDescent="0.2">
      <c r="A75" s="363"/>
      <c r="B75" s="115">
        <v>10</v>
      </c>
      <c r="C75" s="116">
        <f t="shared" si="23"/>
        <v>713.05589180800007</v>
      </c>
      <c r="D75" s="116">
        <f t="shared" si="23"/>
        <v>818.26938086400014</v>
      </c>
      <c r="E75" s="116">
        <f t="shared" si="23"/>
        <v>903.60028491200001</v>
      </c>
      <c r="F75" s="116">
        <f t="shared" si="23"/>
        <v>1008.801960192</v>
      </c>
      <c r="G75" s="116">
        <f t="shared" si="23"/>
        <v>1741.7404370080001</v>
      </c>
      <c r="H75" s="116">
        <f t="shared" si="23"/>
        <v>0</v>
      </c>
      <c r="I75" s="117">
        <f t="shared" si="23"/>
        <v>190.53257932800003</v>
      </c>
      <c r="J75" s="77"/>
      <c r="K75" s="7"/>
      <c r="L75" s="7"/>
    </row>
    <row r="76" spans="1:12" ht="16" thickBot="1" x14ac:dyDescent="0.25">
      <c r="A76" s="364"/>
      <c r="B76" s="118">
        <v>20</v>
      </c>
      <c r="C76" s="119">
        <f t="shared" si="23"/>
        <v>1258.3443506400001</v>
      </c>
      <c r="D76" s="119">
        <f t="shared" si="23"/>
        <v>1443.9978404800001</v>
      </c>
      <c r="E76" s="119">
        <f t="shared" si="23"/>
        <v>1594.5762293759999</v>
      </c>
      <c r="F76" s="119">
        <f t="shared" si="23"/>
        <v>1780.241532992</v>
      </c>
      <c r="G76" s="119">
        <f t="shared" si="23"/>
        <v>3073.6491708000003</v>
      </c>
      <c r="H76" s="119">
        <f t="shared" si="23"/>
        <v>0</v>
      </c>
      <c r="I76" s="120">
        <f t="shared" si="23"/>
        <v>336.24369251200005</v>
      </c>
      <c r="J76" s="77"/>
      <c r="K76" s="7"/>
      <c r="L76" s="7"/>
    </row>
    <row r="77" spans="1:12" x14ac:dyDescent="0.2">
      <c r="A77" s="365" t="s">
        <v>81</v>
      </c>
      <c r="B77" s="112">
        <v>1</v>
      </c>
      <c r="C77" s="113">
        <f t="shared" si="23"/>
        <v>77.344121846739654</v>
      </c>
      <c r="D77" s="113">
        <f t="shared" si="23"/>
        <v>105.10867840710773</v>
      </c>
      <c r="E77" s="113">
        <f t="shared" si="23"/>
        <v>105.10867840710773</v>
      </c>
      <c r="F77" s="113">
        <f t="shared" si="23"/>
        <v>132.87323496747581</v>
      </c>
      <c r="G77" s="113">
        <f t="shared" si="23"/>
        <v>224.0996350943995</v>
      </c>
      <c r="H77" s="113">
        <f t="shared" si="23"/>
        <v>91.226400126923693</v>
      </c>
      <c r="I77" s="114">
        <f t="shared" si="23"/>
        <v>27.764556560368082</v>
      </c>
      <c r="J77" s="218"/>
      <c r="K77" s="7"/>
      <c r="L77" s="7"/>
    </row>
    <row r="78" spans="1:12" x14ac:dyDescent="0.2">
      <c r="A78" s="363"/>
      <c r="B78" s="115">
        <v>10</v>
      </c>
      <c r="C78" s="116">
        <f t="shared" si="23"/>
        <v>657.42503569728706</v>
      </c>
      <c r="D78" s="116">
        <f t="shared" si="23"/>
        <v>893.42376646041566</v>
      </c>
      <c r="E78" s="116">
        <f t="shared" si="23"/>
        <v>893.42376646041566</v>
      </c>
      <c r="F78" s="116">
        <f t="shared" si="23"/>
        <v>1129.4224972235445</v>
      </c>
      <c r="G78" s="116">
        <f t="shared" si="23"/>
        <v>1904.8468983023959</v>
      </c>
      <c r="H78" s="116">
        <f t="shared" si="23"/>
        <v>775.42440107885136</v>
      </c>
      <c r="I78" s="117">
        <f t="shared" si="23"/>
        <v>235.99873076312869</v>
      </c>
      <c r="J78" s="77"/>
      <c r="K78" s="7"/>
      <c r="L78" s="7"/>
    </row>
    <row r="79" spans="1:12" ht="16" thickBot="1" x14ac:dyDescent="0.25">
      <c r="A79" s="364"/>
      <c r="B79" s="118">
        <v>20</v>
      </c>
      <c r="C79" s="119">
        <f t="shared" si="23"/>
        <v>1160.1618277010948</v>
      </c>
      <c r="D79" s="119">
        <f t="shared" si="23"/>
        <v>1576.6301761066159</v>
      </c>
      <c r="E79" s="119">
        <f t="shared" si="23"/>
        <v>1576.6301761066159</v>
      </c>
      <c r="F79" s="119">
        <f t="shared" si="23"/>
        <v>1993.0985245121371</v>
      </c>
      <c r="G79" s="119">
        <f t="shared" si="23"/>
        <v>3361.4945264159924</v>
      </c>
      <c r="H79" s="119">
        <f t="shared" si="23"/>
        <v>1368.3960019038554</v>
      </c>
      <c r="I79" s="120">
        <f t="shared" si="23"/>
        <v>416.46834840552123</v>
      </c>
      <c r="J79" s="77"/>
      <c r="K79" s="7"/>
      <c r="L79" s="7"/>
    </row>
    <row r="80" spans="1:12" x14ac:dyDescent="0.2">
      <c r="A80" s="365" t="s">
        <v>82</v>
      </c>
      <c r="B80" s="112">
        <v>1</v>
      </c>
      <c r="C80" s="113">
        <f t="shared" si="23"/>
        <v>80.750689787375791</v>
      </c>
      <c r="D80" s="113">
        <f t="shared" si="23"/>
        <v>104.30716436109034</v>
      </c>
      <c r="E80" s="113">
        <f t="shared" si="23"/>
        <v>100.91322191984011</v>
      </c>
      <c r="F80" s="113">
        <f t="shared" si="23"/>
        <v>124.46969649355465</v>
      </c>
      <c r="G80" s="113">
        <f t="shared" si="23"/>
        <v>0</v>
      </c>
      <c r="H80" s="113">
        <f t="shared" si="23"/>
        <v>0</v>
      </c>
      <c r="I80" s="114">
        <f t="shared" si="23"/>
        <v>20.175102289654134</v>
      </c>
      <c r="J80" s="218"/>
      <c r="K80" s="7"/>
      <c r="L80" s="7"/>
    </row>
    <row r="81" spans="1:12" x14ac:dyDescent="0.2">
      <c r="A81" s="363"/>
      <c r="B81" s="115">
        <v>10</v>
      </c>
      <c r="C81" s="116">
        <f t="shared" si="23"/>
        <v>484.50413872425474</v>
      </c>
      <c r="D81" s="116">
        <f t="shared" si="23"/>
        <v>625.842986166542</v>
      </c>
      <c r="E81" s="116">
        <f t="shared" si="23"/>
        <v>605.47933151904067</v>
      </c>
      <c r="F81" s="116">
        <f t="shared" si="23"/>
        <v>746.81817896132793</v>
      </c>
      <c r="G81" s="116">
        <f t="shared" si="23"/>
        <v>0</v>
      </c>
      <c r="H81" s="116">
        <f t="shared" si="23"/>
        <v>0</v>
      </c>
      <c r="I81" s="117">
        <f t="shared" si="23"/>
        <v>121.00033310916554</v>
      </c>
      <c r="J81" s="77"/>
      <c r="K81" s="7"/>
      <c r="L81" s="7"/>
    </row>
    <row r="82" spans="1:12" x14ac:dyDescent="0.2">
      <c r="A82" s="369"/>
      <c r="B82" s="121">
        <v>20</v>
      </c>
      <c r="C82" s="122">
        <f t="shared" si="23"/>
        <v>807.50689787375791</v>
      </c>
      <c r="D82" s="122">
        <f t="shared" si="23"/>
        <v>1043.0716436109035</v>
      </c>
      <c r="E82" s="122">
        <f t="shared" si="23"/>
        <v>1009.1322191984011</v>
      </c>
      <c r="F82" s="122">
        <f t="shared" si="23"/>
        <v>1244.6969649355465</v>
      </c>
      <c r="G82" s="122">
        <f t="shared" si="23"/>
        <v>0</v>
      </c>
      <c r="H82" s="122">
        <f t="shared" si="23"/>
        <v>0</v>
      </c>
      <c r="I82" s="123">
        <f t="shared" si="23"/>
        <v>201.67560195340243</v>
      </c>
      <c r="J82" s="77"/>
      <c r="K82" s="7"/>
      <c r="L82" s="7"/>
    </row>
    <row r="83" spans="1:12" x14ac:dyDescent="0.2">
      <c r="A83" s="361" t="s">
        <v>83</v>
      </c>
      <c r="B83" s="124">
        <v>10</v>
      </c>
      <c r="C83" s="116">
        <f t="shared" ref="C83:F83" si="24">+C59/$K9</f>
        <v>0</v>
      </c>
      <c r="D83" s="116">
        <f t="shared" si="24"/>
        <v>0</v>
      </c>
      <c r="E83" s="116">
        <f t="shared" si="24"/>
        <v>0</v>
      </c>
      <c r="F83" s="116">
        <f t="shared" si="24"/>
        <v>0</v>
      </c>
      <c r="G83" s="116">
        <f t="shared" ref="G83:H83" si="25">+G59/$K12</f>
        <v>0</v>
      </c>
      <c r="H83" s="116">
        <f t="shared" si="25"/>
        <v>0</v>
      </c>
      <c r="I83" s="117">
        <f>+I59/$K9</f>
        <v>30.268938513076108</v>
      </c>
      <c r="J83" s="77"/>
      <c r="K83" s="7"/>
      <c r="L83" s="7"/>
    </row>
    <row r="84" spans="1:12" ht="16" thickBot="1" x14ac:dyDescent="0.25">
      <c r="A84" s="362"/>
      <c r="B84" s="125">
        <v>20</v>
      </c>
      <c r="C84" s="119">
        <f t="shared" ref="C84:F84" si="26">+C60/$K11</f>
        <v>0</v>
      </c>
      <c r="D84" s="119">
        <f t="shared" si="26"/>
        <v>0</v>
      </c>
      <c r="E84" s="119">
        <f t="shared" si="26"/>
        <v>0</v>
      </c>
      <c r="F84" s="119">
        <f t="shared" si="26"/>
        <v>0</v>
      </c>
      <c r="G84" s="119">
        <f t="shared" ref="G84:H84" si="27">+G60/$K13</f>
        <v>0</v>
      </c>
      <c r="H84" s="119">
        <f t="shared" si="27"/>
        <v>0</v>
      </c>
      <c r="I84" s="120">
        <f>+I60/$K11</f>
        <v>50.444040802730242</v>
      </c>
      <c r="J84" s="77"/>
      <c r="K84" s="7"/>
      <c r="L84" s="7"/>
    </row>
    <row r="85" spans="1:12" x14ac:dyDescent="0.2">
      <c r="A85" s="363" t="s">
        <v>84</v>
      </c>
      <c r="B85" s="115">
        <v>1</v>
      </c>
      <c r="C85" s="116">
        <f t="shared" ref="C85:I93" si="28">+C61/$K14</f>
        <v>90.611190097173107</v>
      </c>
      <c r="D85" s="116">
        <f t="shared" si="28"/>
        <v>113.37537822171996</v>
      </c>
      <c r="E85" s="116">
        <f t="shared" si="28"/>
        <v>149.70896674079205</v>
      </c>
      <c r="F85" s="116">
        <f t="shared" si="28"/>
        <v>172.39214351969994</v>
      </c>
      <c r="G85" s="116">
        <f t="shared" si="28"/>
        <v>204.79668177528265</v>
      </c>
      <c r="H85" s="113">
        <f t="shared" si="28"/>
        <v>0</v>
      </c>
      <c r="I85" s="114">
        <f t="shared" si="28"/>
        <v>0</v>
      </c>
      <c r="J85" s="218"/>
      <c r="K85" s="7"/>
      <c r="L85" s="7"/>
    </row>
    <row r="86" spans="1:12" x14ac:dyDescent="0.2">
      <c r="A86" s="363"/>
      <c r="B86" s="115">
        <v>5</v>
      </c>
      <c r="C86" s="116">
        <f t="shared" si="28"/>
        <v>407.75035543727898</v>
      </c>
      <c r="D86" s="116">
        <f t="shared" si="28"/>
        <v>510.18920199773981</v>
      </c>
      <c r="E86" s="116">
        <f t="shared" si="28"/>
        <v>673.6903503335642</v>
      </c>
      <c r="F86" s="116">
        <f t="shared" si="28"/>
        <v>775.7646458386497</v>
      </c>
      <c r="G86" s="116">
        <f t="shared" si="28"/>
        <v>921.342033951855</v>
      </c>
      <c r="H86" s="116">
        <f t="shared" si="28"/>
        <v>0</v>
      </c>
      <c r="I86" s="117">
        <f t="shared" si="28"/>
        <v>0</v>
      </c>
      <c r="J86" s="77"/>
      <c r="K86" s="7"/>
      <c r="L86" s="7"/>
    </row>
    <row r="87" spans="1:12" ht="16" thickBot="1" x14ac:dyDescent="0.25">
      <c r="A87" s="364"/>
      <c r="B87" s="118">
        <v>10</v>
      </c>
      <c r="C87" s="119">
        <f t="shared" si="28"/>
        <v>770.19511582597147</v>
      </c>
      <c r="D87" s="119">
        <f t="shared" si="28"/>
        <v>963.69071488461964</v>
      </c>
      <c r="E87" s="119">
        <f t="shared" si="28"/>
        <v>1272.5262172967325</v>
      </c>
      <c r="F87" s="119">
        <f t="shared" si="28"/>
        <v>1465.3332199174495</v>
      </c>
      <c r="G87" s="119">
        <f t="shared" si="28"/>
        <v>1740.2452213432491</v>
      </c>
      <c r="H87" s="119">
        <f t="shared" si="28"/>
        <v>0</v>
      </c>
      <c r="I87" s="120">
        <f t="shared" si="28"/>
        <v>0</v>
      </c>
      <c r="J87" s="77"/>
      <c r="K87" s="7"/>
      <c r="L87" s="7"/>
    </row>
    <row r="88" spans="1:12" x14ac:dyDescent="0.2">
      <c r="A88" s="365" t="s">
        <v>85</v>
      </c>
      <c r="B88" s="112">
        <v>1</v>
      </c>
      <c r="C88" s="113">
        <f t="shared" si="28"/>
        <v>67.802530487999988</v>
      </c>
      <c r="D88" s="113">
        <f t="shared" si="28"/>
        <v>79.294484808000007</v>
      </c>
      <c r="E88" s="113">
        <f t="shared" si="28"/>
        <v>90.786439127999998</v>
      </c>
      <c r="F88" s="113">
        <f t="shared" si="28"/>
        <v>102.278393448</v>
      </c>
      <c r="G88" s="113">
        <f t="shared" si="28"/>
        <v>0</v>
      </c>
      <c r="H88" s="113">
        <f t="shared" si="28"/>
        <v>0</v>
      </c>
      <c r="I88" s="114">
        <f t="shared" si="28"/>
        <v>79.294484808000007</v>
      </c>
      <c r="J88" s="77"/>
      <c r="K88" s="7"/>
      <c r="L88" s="7"/>
    </row>
    <row r="89" spans="1:12" x14ac:dyDescent="0.2">
      <c r="A89" s="363"/>
      <c r="B89" s="115">
        <v>5</v>
      </c>
      <c r="C89" s="116">
        <f t="shared" si="28"/>
        <v>321.77472096000002</v>
      </c>
      <c r="D89" s="116">
        <f t="shared" si="28"/>
        <v>376.93610169599998</v>
      </c>
      <c r="E89" s="116">
        <f t="shared" si="28"/>
        <v>430.94828699999994</v>
      </c>
      <c r="F89" s="116">
        <f t="shared" si="28"/>
        <v>486.10966773600001</v>
      </c>
      <c r="G89" s="116">
        <f t="shared" si="28"/>
        <v>0</v>
      </c>
      <c r="H89" s="116">
        <f t="shared" si="28"/>
        <v>0</v>
      </c>
      <c r="I89" s="117">
        <f t="shared" si="28"/>
        <v>376.93610169599998</v>
      </c>
      <c r="J89" s="77"/>
      <c r="K89" s="7"/>
      <c r="L89" s="7"/>
    </row>
    <row r="90" spans="1:12" ht="16" thickBot="1" x14ac:dyDescent="0.25">
      <c r="A90" s="364"/>
      <c r="B90" s="118">
        <v>10</v>
      </c>
      <c r="C90" s="119">
        <f t="shared" si="28"/>
        <v>610.22277439200002</v>
      </c>
      <c r="D90" s="119">
        <f t="shared" si="28"/>
        <v>713.65036327199994</v>
      </c>
      <c r="E90" s="119">
        <f t="shared" si="28"/>
        <v>817.07795215200008</v>
      </c>
      <c r="F90" s="119">
        <f t="shared" si="28"/>
        <v>920.505541032</v>
      </c>
      <c r="G90" s="119">
        <f t="shared" si="28"/>
        <v>0</v>
      </c>
      <c r="H90" s="119">
        <f t="shared" si="28"/>
        <v>0</v>
      </c>
      <c r="I90" s="120">
        <f t="shared" si="28"/>
        <v>713.65036327199994</v>
      </c>
      <c r="J90" s="77"/>
      <c r="K90" s="7"/>
      <c r="L90" s="7"/>
    </row>
    <row r="91" spans="1:12" x14ac:dyDescent="0.2">
      <c r="A91" s="365" t="s">
        <v>87</v>
      </c>
      <c r="B91" s="112">
        <v>1</v>
      </c>
      <c r="C91" s="113">
        <f t="shared" si="28"/>
        <v>65.015012999999982</v>
      </c>
      <c r="D91" s="113">
        <f t="shared" si="28"/>
        <v>86.686684</v>
      </c>
      <c r="E91" s="113">
        <f t="shared" si="28"/>
        <v>86.686684</v>
      </c>
      <c r="F91" s="113">
        <f t="shared" si="28"/>
        <v>92.104601749999986</v>
      </c>
      <c r="G91" s="113">
        <f t="shared" si="28"/>
        <v>0</v>
      </c>
      <c r="H91" s="113">
        <f t="shared" si="28"/>
        <v>0</v>
      </c>
      <c r="I91" s="114">
        <f t="shared" si="28"/>
        <v>0</v>
      </c>
      <c r="J91" s="77"/>
      <c r="K91" s="7"/>
      <c r="L91" s="7"/>
    </row>
    <row r="92" spans="1:12" x14ac:dyDescent="0.2">
      <c r="A92" s="363"/>
      <c r="B92" s="115">
        <v>10</v>
      </c>
      <c r="C92" s="116">
        <f t="shared" si="28"/>
        <v>541.79177499999992</v>
      </c>
      <c r="D92" s="116">
        <f t="shared" si="28"/>
        <v>639.31429449999996</v>
      </c>
      <c r="E92" s="116">
        <f t="shared" si="28"/>
        <v>726.00097849999986</v>
      </c>
      <c r="F92" s="116">
        <f t="shared" si="28"/>
        <v>758.50848499999995</v>
      </c>
      <c r="G92" s="116">
        <f t="shared" si="28"/>
        <v>0</v>
      </c>
      <c r="H92" s="116">
        <f t="shared" si="28"/>
        <v>0</v>
      </c>
      <c r="I92" s="117">
        <f t="shared" si="28"/>
        <v>0</v>
      </c>
      <c r="J92" s="77"/>
      <c r="K92" s="7"/>
      <c r="L92" s="7"/>
    </row>
    <row r="93" spans="1:12" ht="16" thickBot="1" x14ac:dyDescent="0.25">
      <c r="A93" s="364"/>
      <c r="B93" s="118">
        <v>20</v>
      </c>
      <c r="C93" s="119">
        <f t="shared" si="28"/>
        <v>975.22519499999987</v>
      </c>
      <c r="D93" s="119">
        <f t="shared" si="28"/>
        <v>1083.5835499999998</v>
      </c>
      <c r="E93" s="119">
        <f t="shared" si="28"/>
        <v>1191.9419049999999</v>
      </c>
      <c r="F93" s="119">
        <f t="shared" si="28"/>
        <v>1300.3002599999998</v>
      </c>
      <c r="G93" s="119">
        <f t="shared" si="28"/>
        <v>0</v>
      </c>
      <c r="H93" s="119">
        <f t="shared" si="28"/>
        <v>0</v>
      </c>
      <c r="I93" s="120">
        <f t="shared" si="28"/>
        <v>0</v>
      </c>
      <c r="J93" s="77"/>
      <c r="K93" s="7"/>
      <c r="L93" s="7"/>
    </row>
  </sheetData>
  <protectedRanges>
    <protectedRange algorithmName="SHA-512" hashValue="8+WC16KcaTl8JHmbUVQ84W+hurA1WFZn6fnGPbOSDFaa0OB9h6e1TmKamNA520L398AyBpLndqhYk0z/5BgtXw==" saltValue="Ah3UgLlf68Thq0MxUhBAaw==" spinCount="100000" sqref="A25:B25 A48:B48 A72:B72 D72:I72 D48:I48 A49:C55 A70:I70 D25:G25 A26:G26 D49:G49 A61:I63 D50:I55 D73:G73 A56:B60 A73:C87 D74:I87 A12:B13 A27:I40" name="Range1"/>
    <protectedRange algorithmName="SHA-512" hashValue="8+WC16KcaTl8JHmbUVQ84W+hurA1WFZn6fnGPbOSDFaa0OB9h6e1TmKamNA520L398AyBpLndqhYk0z/5BgtXw==" saltValue="Ah3UgLlf68Thq0MxUhBAaw==" spinCount="100000" sqref="C56:I60" name="Range1_1_1"/>
    <protectedRange algorithmName="SHA-512" hashValue="8+WC16KcaTl8JHmbUVQ84W+hurA1WFZn6fnGPbOSDFaa0OB9h6e1TmKamNA520L398AyBpLndqhYk0z/5BgtXw==" saltValue="Ah3UgLlf68Thq0MxUhBAaw==" spinCount="100000" sqref="A41:G43 A44:A46 C44:G46 A67:A69 H41:I46" name="Range1_1"/>
    <protectedRange algorithmName="SHA-512" hashValue="8+WC16KcaTl8JHmbUVQ84W+hurA1WFZn6fnGPbOSDFaa0OB9h6e1TmKamNA520L398AyBpLndqhYk0z/5BgtXw==" saltValue="Ah3UgLlf68Thq0MxUhBAaw==" spinCount="100000" sqref="A64:G66 C67:G69 H64:I69" name="Range1_2"/>
    <protectedRange algorithmName="SHA-512" hashValue="8+WC16KcaTl8JHmbUVQ84W+hurA1WFZn6fnGPbOSDFaa0OB9h6e1TmKamNA520L398AyBpLndqhYk0z/5BgtXw==" saltValue="Ah3UgLlf68Thq0MxUhBAaw==" spinCount="100000" sqref="A88:I93" name="Range1_3"/>
  </protectedRanges>
  <mergeCells count="34">
    <mergeCell ref="A27:A29"/>
    <mergeCell ref="A1:K1"/>
    <mergeCell ref="A3:A5"/>
    <mergeCell ref="A6:A8"/>
    <mergeCell ref="A9:A11"/>
    <mergeCell ref="A12:A13"/>
    <mergeCell ref="A14:A16"/>
    <mergeCell ref="A17:A19"/>
    <mergeCell ref="L17:L19"/>
    <mergeCell ref="A20:A22"/>
    <mergeCell ref="L20:L22"/>
    <mergeCell ref="A25:I25"/>
    <mergeCell ref="A61:A63"/>
    <mergeCell ref="A30:A32"/>
    <mergeCell ref="A33:A35"/>
    <mergeCell ref="A36:A37"/>
    <mergeCell ref="A38:A40"/>
    <mergeCell ref="A41:A43"/>
    <mergeCell ref="A44:A46"/>
    <mergeCell ref="A48:I48"/>
    <mergeCell ref="A50:A52"/>
    <mergeCell ref="A53:A55"/>
    <mergeCell ref="A56:A58"/>
    <mergeCell ref="A59:A60"/>
    <mergeCell ref="A83:A84"/>
    <mergeCell ref="A85:A87"/>
    <mergeCell ref="A88:A90"/>
    <mergeCell ref="A91:A93"/>
    <mergeCell ref="A64:A66"/>
    <mergeCell ref="A67:A69"/>
    <mergeCell ref="A72:I72"/>
    <mergeCell ref="A74:A76"/>
    <mergeCell ref="A77:A79"/>
    <mergeCell ref="A80:A8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57BF-EB2D-423F-93BE-2DBEEE280E28}">
  <sheetPr>
    <tabColor rgb="FF92D050"/>
  </sheetPr>
  <dimension ref="A1:R45"/>
  <sheetViews>
    <sheetView workbookViewId="0">
      <selection activeCell="H22" sqref="H22:H27"/>
    </sheetView>
  </sheetViews>
  <sheetFormatPr baseColWidth="10" defaultColWidth="8.83203125" defaultRowHeight="15" x14ac:dyDescent="0.2"/>
  <cols>
    <col min="1" max="1" width="15.6640625" customWidth="1"/>
    <col min="2" max="6" width="10.1640625" customWidth="1"/>
    <col min="7" max="7" width="15.5" bestFit="1" customWidth="1"/>
    <col min="8" max="8" width="12.83203125" customWidth="1"/>
    <col min="9" max="9" width="15.83203125" bestFit="1" customWidth="1"/>
    <col min="10" max="10" width="15.83203125" customWidth="1"/>
    <col min="11" max="11" width="16.83203125" customWidth="1"/>
    <col min="12" max="12" width="67.5" bestFit="1" customWidth="1"/>
  </cols>
  <sheetData>
    <row r="1" spans="1:16" x14ac:dyDescent="0.2">
      <c r="A1" s="6" t="s">
        <v>36</v>
      </c>
    </row>
    <row r="3" spans="1:16" ht="14.5" customHeight="1" x14ac:dyDescent="0.2">
      <c r="A3" s="337" t="s">
        <v>37</v>
      </c>
      <c r="B3" s="5" t="s">
        <v>2</v>
      </c>
      <c r="C3" s="5" t="s">
        <v>3</v>
      </c>
      <c r="D3" s="5" t="s">
        <v>34</v>
      </c>
      <c r="E3" s="5" t="s">
        <v>35</v>
      </c>
      <c r="F3" s="5" t="s">
        <v>6</v>
      </c>
      <c r="J3" s="2" t="s">
        <v>29</v>
      </c>
      <c r="K3" s="2" t="s">
        <v>45</v>
      </c>
    </row>
    <row r="4" spans="1:16" x14ac:dyDescent="0.2">
      <c r="A4" s="337"/>
      <c r="B4" s="23">
        <f>+'COLLECTION PRICE'!C25</f>
        <v>1400</v>
      </c>
      <c r="C4" s="23">
        <f>+'COLLECTION PRICE'!D25</f>
        <v>1600</v>
      </c>
      <c r="D4" s="23">
        <f>+'COLLECTION PRICE'!E25</f>
        <v>1800</v>
      </c>
      <c r="E4" s="23">
        <f>+'COLLECTION PRICE'!F25</f>
        <v>2100</v>
      </c>
      <c r="F4" s="23">
        <f>+'COLLECTION PRICE'!G25</f>
        <v>2500</v>
      </c>
      <c r="G4" s="6" t="s">
        <v>51</v>
      </c>
      <c r="J4" s="2" t="s">
        <v>128</v>
      </c>
      <c r="K4" s="2" t="s">
        <v>46</v>
      </c>
    </row>
    <row r="5" spans="1:16" x14ac:dyDescent="0.2">
      <c r="A5" s="337"/>
      <c r="B5" s="28">
        <f>+'STORAGE PRICE'!C74</f>
        <v>83.889623376000017</v>
      </c>
      <c r="C5" s="28">
        <f>+'STORAGE PRICE'!D74</f>
        <v>96.270460623999995</v>
      </c>
      <c r="D5" s="28">
        <f>+'STORAGE PRICE'!E74</f>
        <v>106.30035644800002</v>
      </c>
      <c r="E5" s="28">
        <f>+'STORAGE PRICE'!F74</f>
        <v>118.68119369599999</v>
      </c>
      <c r="F5" s="28">
        <f>+'STORAGE PRICE'!G74</f>
        <v>204.90994472</v>
      </c>
      <c r="G5" s="6" t="s">
        <v>52</v>
      </c>
      <c r="J5" s="2" t="s">
        <v>15</v>
      </c>
      <c r="K5" s="2" t="s">
        <v>47</v>
      </c>
    </row>
    <row r="6" spans="1:16" x14ac:dyDescent="0.2">
      <c r="A6" s="337"/>
      <c r="B6" s="28">
        <f>+'STORAGE PRICE'!C75</f>
        <v>713.05589180800007</v>
      </c>
      <c r="C6" s="28">
        <f>+'STORAGE PRICE'!D75</f>
        <v>818.26938086400014</v>
      </c>
      <c r="D6" s="28">
        <f>+'STORAGE PRICE'!E75</f>
        <v>903.60028491200001</v>
      </c>
      <c r="E6" s="28">
        <f>+'STORAGE PRICE'!F75</f>
        <v>1008.801960192</v>
      </c>
      <c r="F6" s="28">
        <f>+'STORAGE PRICE'!G75</f>
        <v>1741.7404370080001</v>
      </c>
      <c r="G6" s="6" t="s">
        <v>54</v>
      </c>
      <c r="J6" s="2" t="s">
        <v>16</v>
      </c>
      <c r="K6" s="2" t="s">
        <v>47</v>
      </c>
    </row>
    <row r="7" spans="1:16" x14ac:dyDescent="0.2">
      <c r="A7" s="337"/>
      <c r="B7" s="28">
        <f>+'STORAGE PRICE'!C76</f>
        <v>1258.3443506400001</v>
      </c>
      <c r="C7" s="28">
        <f>+'STORAGE PRICE'!D76</f>
        <v>1443.9978404800001</v>
      </c>
      <c r="D7" s="28">
        <f>+'STORAGE PRICE'!E76</f>
        <v>1594.5762293759999</v>
      </c>
      <c r="E7" s="28">
        <f>+'STORAGE PRICE'!F76</f>
        <v>1780.241532992</v>
      </c>
      <c r="F7" s="28">
        <f>+'STORAGE PRICE'!G76</f>
        <v>3073.6491708000003</v>
      </c>
      <c r="G7" s="6" t="s">
        <v>55</v>
      </c>
      <c r="J7" s="2" t="s">
        <v>1</v>
      </c>
      <c r="K7" s="2" t="s">
        <v>48</v>
      </c>
    </row>
    <row r="9" spans="1:16" x14ac:dyDescent="0.2">
      <c r="A9" s="6" t="s">
        <v>25</v>
      </c>
    </row>
    <row r="10" spans="1:16" ht="14.5" customHeight="1" x14ac:dyDescent="0.2">
      <c r="A10" s="24" t="s">
        <v>12</v>
      </c>
      <c r="B10" s="25" t="s">
        <v>29</v>
      </c>
      <c r="C10" s="25" t="s">
        <v>128</v>
      </c>
      <c r="D10" s="25" t="s">
        <v>15</v>
      </c>
      <c r="E10" s="25" t="s">
        <v>16</v>
      </c>
      <c r="F10" s="25" t="s">
        <v>1</v>
      </c>
      <c r="G10" s="20"/>
      <c r="H10" s="20" t="s">
        <v>27</v>
      </c>
      <c r="I10" s="20"/>
      <c r="J10" s="20"/>
      <c r="K10" s="20"/>
    </row>
    <row r="11" spans="1:16" x14ac:dyDescent="0.2">
      <c r="A11" s="24" t="s">
        <v>32</v>
      </c>
      <c r="B11" s="226">
        <f>+B4-H13</f>
        <v>900</v>
      </c>
      <c r="C11" s="226">
        <f>+C4-B4</f>
        <v>200</v>
      </c>
      <c r="D11" s="226">
        <f>+D4-B4</f>
        <v>400</v>
      </c>
      <c r="E11" s="226">
        <f>+E4-C4</f>
        <v>500</v>
      </c>
      <c r="F11" s="226">
        <f>+F4-E4</f>
        <v>400</v>
      </c>
      <c r="G11" s="20" t="s">
        <v>12</v>
      </c>
      <c r="H11" s="20" t="s">
        <v>10</v>
      </c>
      <c r="I11" s="20"/>
      <c r="J11" s="20" t="s">
        <v>43</v>
      </c>
      <c r="K11" s="20" t="s">
        <v>44</v>
      </c>
    </row>
    <row r="12" spans="1:16" ht="16" thickBot="1" x14ac:dyDescent="0.25">
      <c r="A12" s="29" t="s">
        <v>33</v>
      </c>
      <c r="B12" s="228">
        <f>+B5</f>
        <v>83.889623376000017</v>
      </c>
      <c r="C12" s="228">
        <f>+C5-B5</f>
        <v>12.380837247999978</v>
      </c>
      <c r="D12" s="228">
        <f>+D5-B12</f>
        <v>22.410733071999999</v>
      </c>
      <c r="E12" s="228">
        <f>+E5-C5</f>
        <v>22.410733071999999</v>
      </c>
      <c r="F12" s="228">
        <f>+F5-E5</f>
        <v>86.228751024000005</v>
      </c>
      <c r="G12" s="30" t="s">
        <v>13</v>
      </c>
      <c r="H12" s="30" t="s">
        <v>30</v>
      </c>
      <c r="I12" s="30" t="s">
        <v>31</v>
      </c>
      <c r="J12" s="30" t="s">
        <v>38</v>
      </c>
      <c r="K12" s="30" t="s">
        <v>39</v>
      </c>
    </row>
    <row r="13" spans="1:16" ht="16" thickTop="1" x14ac:dyDescent="0.2">
      <c r="A13" s="31" t="s">
        <v>127</v>
      </c>
      <c r="B13" s="32" t="b">
        <v>0</v>
      </c>
      <c r="C13" s="32" t="b">
        <v>0</v>
      </c>
      <c r="D13" s="32" t="b">
        <v>0</v>
      </c>
      <c r="E13" s="32" t="b">
        <v>0</v>
      </c>
      <c r="F13" s="32" t="b">
        <v>0</v>
      </c>
      <c r="G13" s="33" t="s">
        <v>126</v>
      </c>
      <c r="H13" s="34">
        <v>500</v>
      </c>
      <c r="I13" s="33"/>
      <c r="J13" s="33"/>
      <c r="K13" s="33"/>
      <c r="L13" s="323" t="s">
        <v>140</v>
      </c>
    </row>
    <row r="14" spans="1:16" x14ac:dyDescent="0.2">
      <c r="A14" s="18" t="s">
        <v>2</v>
      </c>
      <c r="B14" s="19" t="b">
        <v>1</v>
      </c>
      <c r="C14" s="19" t="b">
        <v>0</v>
      </c>
      <c r="D14" s="19" t="b">
        <v>0</v>
      </c>
      <c r="E14" s="19" t="b">
        <v>0</v>
      </c>
      <c r="F14" s="19" t="b">
        <v>0</v>
      </c>
      <c r="G14" s="18" t="s">
        <v>2</v>
      </c>
      <c r="H14" s="22">
        <f>+B4</f>
        <v>1400</v>
      </c>
      <c r="I14" s="27">
        <f>+B5</f>
        <v>83.889623376000017</v>
      </c>
      <c r="J14" s="27">
        <f>+B6</f>
        <v>713.05589180800007</v>
      </c>
      <c r="K14" s="27">
        <f>+B7</f>
        <v>1258.3443506400001</v>
      </c>
      <c r="M14" s="37"/>
      <c r="P14" s="26"/>
    </row>
    <row r="15" spans="1:16" x14ac:dyDescent="0.2">
      <c r="A15" s="18" t="s">
        <v>3</v>
      </c>
      <c r="B15" s="19" t="b">
        <v>1</v>
      </c>
      <c r="C15" s="19" t="b">
        <v>1</v>
      </c>
      <c r="D15" s="19" t="b">
        <v>0</v>
      </c>
      <c r="E15" s="19" t="b">
        <v>0</v>
      </c>
      <c r="F15" s="19" t="b">
        <v>0</v>
      </c>
      <c r="G15" s="18" t="s">
        <v>3</v>
      </c>
      <c r="H15" s="22">
        <f>+C4</f>
        <v>1600</v>
      </c>
      <c r="I15" s="27">
        <f>+C5</f>
        <v>96.270460623999995</v>
      </c>
      <c r="J15" s="27">
        <f>+C6</f>
        <v>818.26938086400014</v>
      </c>
      <c r="K15" s="27">
        <f>+C7</f>
        <v>1443.9978404800001</v>
      </c>
      <c r="M15" s="37"/>
    </row>
    <row r="16" spans="1:16" x14ac:dyDescent="0.2">
      <c r="A16" s="2" t="s">
        <v>3</v>
      </c>
      <c r="B16" s="3" t="b">
        <v>1</v>
      </c>
      <c r="C16" s="3" t="b">
        <v>0</v>
      </c>
      <c r="D16" s="3" t="b">
        <v>0</v>
      </c>
      <c r="E16" s="3" t="b">
        <v>0</v>
      </c>
      <c r="F16" s="3" t="b">
        <v>0</v>
      </c>
      <c r="G16" s="11" t="s">
        <v>96</v>
      </c>
      <c r="H16" s="21">
        <f>+$B$11+H13</f>
        <v>1400</v>
      </c>
      <c r="I16" s="227">
        <f>+$B$12</f>
        <v>83.889623376000017</v>
      </c>
      <c r="J16" s="227">
        <f>+I16*10*(100%-15%)</f>
        <v>713.0617986960001</v>
      </c>
      <c r="K16" s="227">
        <f>+I16*20*(100%-25%)</f>
        <v>1258.3443506400004</v>
      </c>
      <c r="M16" s="37"/>
    </row>
    <row r="17" spans="1:18" x14ac:dyDescent="0.2">
      <c r="A17" s="2" t="s">
        <v>3</v>
      </c>
      <c r="B17" s="3" t="b">
        <v>0</v>
      </c>
      <c r="C17" s="3" t="b">
        <v>1</v>
      </c>
      <c r="D17" s="3" t="b">
        <v>0</v>
      </c>
      <c r="E17" s="3" t="b">
        <v>0</v>
      </c>
      <c r="F17" s="3" t="b">
        <v>0</v>
      </c>
      <c r="G17" s="11" t="s">
        <v>14</v>
      </c>
      <c r="H17" s="21">
        <f>+$C$11+H13</f>
        <v>700</v>
      </c>
      <c r="I17" s="227">
        <f>+$C$12</f>
        <v>12.380837247999978</v>
      </c>
      <c r="J17" s="227">
        <f>+I17*10*(100%-15%)</f>
        <v>105.23711660799981</v>
      </c>
      <c r="K17" s="227">
        <f>+I17*20*(100%-25%)</f>
        <v>185.71255871999966</v>
      </c>
      <c r="L17" s="216"/>
      <c r="M17" s="217"/>
      <c r="N17" s="219"/>
    </row>
    <row r="18" spans="1:18" x14ac:dyDescent="0.2">
      <c r="A18" s="18" t="s">
        <v>7</v>
      </c>
      <c r="B18" s="19" t="b">
        <v>1</v>
      </c>
      <c r="C18" s="19" t="b">
        <v>0</v>
      </c>
      <c r="D18" s="19" t="b">
        <v>1</v>
      </c>
      <c r="E18" s="19" t="b">
        <v>0</v>
      </c>
      <c r="F18" s="19" t="b">
        <v>0</v>
      </c>
      <c r="G18" s="18" t="s">
        <v>7</v>
      </c>
      <c r="H18" s="22">
        <f>+D4</f>
        <v>1800</v>
      </c>
      <c r="I18" s="27">
        <f>+D5</f>
        <v>106.30035644800002</v>
      </c>
      <c r="J18" s="27">
        <f>+D6</f>
        <v>903.60028491200001</v>
      </c>
      <c r="K18" s="27">
        <f>+D7</f>
        <v>1594.5762293759999</v>
      </c>
      <c r="M18" s="37"/>
    </row>
    <row r="19" spans="1:18" x14ac:dyDescent="0.2">
      <c r="A19" s="2" t="s">
        <v>7</v>
      </c>
      <c r="B19" s="3" t="b">
        <v>1</v>
      </c>
      <c r="C19" s="3" t="b">
        <v>0</v>
      </c>
      <c r="D19" s="3" t="b">
        <v>0</v>
      </c>
      <c r="E19" s="3" t="b">
        <v>0</v>
      </c>
      <c r="F19" s="3" t="b">
        <v>0</v>
      </c>
      <c r="G19" s="11" t="s">
        <v>96</v>
      </c>
      <c r="H19" s="21">
        <f>+$B$11+H13</f>
        <v>1400</v>
      </c>
      <c r="I19" s="227">
        <f>+$B$12</f>
        <v>83.889623376000017</v>
      </c>
      <c r="J19" s="227">
        <f>+I19*10*(100%-15%)</f>
        <v>713.0617986960001</v>
      </c>
      <c r="K19" s="227">
        <f>+I19*20*(100%-25%)</f>
        <v>1258.3443506400004</v>
      </c>
      <c r="M19" s="37"/>
    </row>
    <row r="20" spans="1:18" x14ac:dyDescent="0.2">
      <c r="A20" s="2" t="s">
        <v>7</v>
      </c>
      <c r="B20" s="3" t="b">
        <v>0</v>
      </c>
      <c r="C20" s="3" t="b">
        <v>0</v>
      </c>
      <c r="D20" s="3" t="b">
        <v>1</v>
      </c>
      <c r="E20" s="3" t="b">
        <v>0</v>
      </c>
      <c r="F20" s="3" t="b">
        <v>0</v>
      </c>
      <c r="G20" s="11" t="s">
        <v>15</v>
      </c>
      <c r="H20" s="317">
        <f>+$D$11+H13</f>
        <v>900</v>
      </c>
      <c r="I20" s="227">
        <f>+$D$12</f>
        <v>22.410733071999999</v>
      </c>
      <c r="J20" s="227">
        <f>+I20*10*(100%-15%)</f>
        <v>190.49123111199998</v>
      </c>
      <c r="K20" s="227">
        <f>+I20*20*(100%-25%)</f>
        <v>336.16099608000002</v>
      </c>
      <c r="L20" s="323" t="s">
        <v>132</v>
      </c>
      <c r="M20" s="37"/>
      <c r="P20" s="38"/>
    </row>
    <row r="21" spans="1:18" x14ac:dyDescent="0.2">
      <c r="A21" s="18" t="s">
        <v>8</v>
      </c>
      <c r="B21" s="19" t="b">
        <v>1</v>
      </c>
      <c r="C21" s="19" t="b">
        <v>1</v>
      </c>
      <c r="D21" s="19" t="b">
        <v>0</v>
      </c>
      <c r="E21" s="19" t="b">
        <v>1</v>
      </c>
      <c r="F21" s="19" t="b">
        <v>0</v>
      </c>
      <c r="G21" s="18" t="s">
        <v>8</v>
      </c>
      <c r="H21" s="22">
        <f>+E4</f>
        <v>2100</v>
      </c>
      <c r="I21" s="27">
        <f>+E5</f>
        <v>118.68119369599999</v>
      </c>
      <c r="J21" s="27">
        <f>+E6</f>
        <v>1008.801960192</v>
      </c>
      <c r="K21" s="27">
        <f>+E7</f>
        <v>1780.241532992</v>
      </c>
      <c r="M21" s="37"/>
    </row>
    <row r="22" spans="1:18" x14ac:dyDescent="0.2">
      <c r="A22" s="2" t="s">
        <v>8</v>
      </c>
      <c r="B22" s="3" t="b">
        <v>1</v>
      </c>
      <c r="C22" s="3" t="b">
        <v>0</v>
      </c>
      <c r="D22" s="3" t="b">
        <v>0</v>
      </c>
      <c r="E22" s="3" t="b">
        <v>0</v>
      </c>
      <c r="F22" s="3" t="b">
        <v>0</v>
      </c>
      <c r="G22" s="11" t="s">
        <v>96</v>
      </c>
      <c r="H22" s="21">
        <f>+$B$11+H13</f>
        <v>1400</v>
      </c>
      <c r="I22" s="227">
        <f>+$B$12</f>
        <v>83.889623376000017</v>
      </c>
      <c r="J22" s="227">
        <f t="shared" ref="J22:J27" si="0">+I22*10*(100%-15%)</f>
        <v>713.0617986960001</v>
      </c>
      <c r="K22" s="227">
        <f t="shared" ref="K22:K27" si="1">+I22*20*(100%-25%)</f>
        <v>1258.3443506400004</v>
      </c>
      <c r="M22" s="37"/>
    </row>
    <row r="23" spans="1:18" x14ac:dyDescent="0.2">
      <c r="A23" s="2" t="s">
        <v>8</v>
      </c>
      <c r="B23" s="3" t="b">
        <v>1</v>
      </c>
      <c r="C23" s="3" t="b">
        <v>1</v>
      </c>
      <c r="D23" s="3" t="b">
        <v>0</v>
      </c>
      <c r="E23" s="3" t="b">
        <v>0</v>
      </c>
      <c r="F23" s="3" t="b">
        <v>0</v>
      </c>
      <c r="G23" s="11" t="s">
        <v>97</v>
      </c>
      <c r="H23" s="21">
        <f>+$B$11+$C$11+H13</f>
        <v>1600</v>
      </c>
      <c r="I23" s="227">
        <f>+$B$12+$C$12</f>
        <v>96.270460623999995</v>
      </c>
      <c r="J23" s="227">
        <f t="shared" si="0"/>
        <v>818.29891530399993</v>
      </c>
      <c r="K23" s="227">
        <f t="shared" si="1"/>
        <v>1444.05690936</v>
      </c>
      <c r="M23" s="37"/>
    </row>
    <row r="24" spans="1:18" x14ac:dyDescent="0.2">
      <c r="A24" s="2" t="s">
        <v>8</v>
      </c>
      <c r="B24" s="3" t="b">
        <v>1</v>
      </c>
      <c r="C24" s="3" t="b">
        <v>0</v>
      </c>
      <c r="D24" s="3" t="b">
        <v>1</v>
      </c>
      <c r="E24" s="3" t="b">
        <v>0</v>
      </c>
      <c r="F24" s="3" t="b">
        <v>0</v>
      </c>
      <c r="G24" s="11" t="s">
        <v>98</v>
      </c>
      <c r="H24" s="21">
        <f>+$B$11+$D$11+H13</f>
        <v>1800</v>
      </c>
      <c r="I24" s="227">
        <f>+$B$12+$D$12</f>
        <v>106.30035644800002</v>
      </c>
      <c r="J24" s="227">
        <f t="shared" si="0"/>
        <v>903.55302980800013</v>
      </c>
      <c r="K24" s="227">
        <f t="shared" si="1"/>
        <v>1594.5053467200005</v>
      </c>
      <c r="M24" s="37"/>
    </row>
    <row r="25" spans="1:18" x14ac:dyDescent="0.2">
      <c r="A25" s="2" t="s">
        <v>8</v>
      </c>
      <c r="B25" s="3" t="b">
        <v>0</v>
      </c>
      <c r="C25" s="3" t="b">
        <v>1</v>
      </c>
      <c r="D25" s="3" t="b">
        <v>0</v>
      </c>
      <c r="E25" s="3" t="b">
        <v>0</v>
      </c>
      <c r="F25" s="3" t="b">
        <v>0</v>
      </c>
      <c r="G25" s="11" t="s">
        <v>14</v>
      </c>
      <c r="H25" s="21">
        <f>+$C$11+H13</f>
        <v>700</v>
      </c>
      <c r="I25" s="227">
        <f>+$C$12</f>
        <v>12.380837247999978</v>
      </c>
      <c r="J25" s="227">
        <f t="shared" si="0"/>
        <v>105.23711660799981</v>
      </c>
      <c r="K25" s="227">
        <f t="shared" si="1"/>
        <v>185.71255871999966</v>
      </c>
      <c r="L25" s="216"/>
      <c r="M25" s="217"/>
      <c r="N25" s="219"/>
    </row>
    <row r="26" spans="1:18" x14ac:dyDescent="0.2">
      <c r="A26" s="2" t="s">
        <v>8</v>
      </c>
      <c r="B26" s="3" t="b">
        <v>0</v>
      </c>
      <c r="C26" s="3" t="b">
        <v>1</v>
      </c>
      <c r="D26" s="3" t="b">
        <v>0</v>
      </c>
      <c r="E26" s="3" t="b">
        <v>1</v>
      </c>
      <c r="F26" s="3" t="b">
        <v>0</v>
      </c>
      <c r="G26" s="11" t="s">
        <v>17</v>
      </c>
      <c r="H26" s="21">
        <f>+$C$11+$E$11+H13</f>
        <v>1200</v>
      </c>
      <c r="I26" s="227">
        <f>+$C$12+$E$12</f>
        <v>34.791570319999977</v>
      </c>
      <c r="J26" s="227">
        <f t="shared" si="0"/>
        <v>295.72834771999982</v>
      </c>
      <c r="K26" s="227">
        <f t="shared" si="1"/>
        <v>521.87355479999962</v>
      </c>
      <c r="L26" s="216"/>
      <c r="M26" s="217"/>
    </row>
    <row r="27" spans="1:18" x14ac:dyDescent="0.2">
      <c r="A27" s="2" t="s">
        <v>8</v>
      </c>
      <c r="B27" s="3" t="b">
        <v>0</v>
      </c>
      <c r="C27" s="3" t="b">
        <v>0</v>
      </c>
      <c r="D27" s="3" t="b">
        <v>0</v>
      </c>
      <c r="E27" s="3" t="b">
        <v>1</v>
      </c>
      <c r="F27" s="3" t="b">
        <v>0</v>
      </c>
      <c r="G27" s="11" t="s">
        <v>16</v>
      </c>
      <c r="H27" s="317">
        <f>+$E$11+H13</f>
        <v>1000</v>
      </c>
      <c r="I27" s="227">
        <f>+$E$12</f>
        <v>22.410733071999999</v>
      </c>
      <c r="J27" s="227">
        <f t="shared" si="0"/>
        <v>190.49123111199998</v>
      </c>
      <c r="K27" s="227">
        <f t="shared" si="1"/>
        <v>336.16099608000002</v>
      </c>
      <c r="L27" s="323" t="s">
        <v>132</v>
      </c>
      <c r="M27" s="37"/>
    </row>
    <row r="28" spans="1:18" x14ac:dyDescent="0.2">
      <c r="A28" s="18" t="s">
        <v>9</v>
      </c>
      <c r="B28" s="19" t="b">
        <v>1</v>
      </c>
      <c r="C28" s="19" t="b">
        <v>1</v>
      </c>
      <c r="D28" s="19" t="b">
        <v>0</v>
      </c>
      <c r="E28" s="19" t="b">
        <v>1</v>
      </c>
      <c r="F28" s="19" t="b">
        <v>1</v>
      </c>
      <c r="G28" s="18" t="s">
        <v>6</v>
      </c>
      <c r="H28" s="22">
        <f>+F4</f>
        <v>2500</v>
      </c>
      <c r="I28" s="27">
        <f>+F5</f>
        <v>204.90994472</v>
      </c>
      <c r="J28" s="27">
        <f>+F6</f>
        <v>1741.7404370080001</v>
      </c>
      <c r="K28" s="27">
        <f>+F7</f>
        <v>3073.6491708000003</v>
      </c>
      <c r="M28" s="37"/>
      <c r="P28" s="37"/>
      <c r="R28" s="35"/>
    </row>
    <row r="29" spans="1:18" x14ac:dyDescent="0.2">
      <c r="A29" s="2" t="s">
        <v>9</v>
      </c>
      <c r="B29" s="3" t="b">
        <v>1</v>
      </c>
      <c r="C29" s="3" t="b">
        <v>0</v>
      </c>
      <c r="D29" s="3" t="b">
        <v>0</v>
      </c>
      <c r="E29" s="3" t="b">
        <v>0</v>
      </c>
      <c r="F29" s="3" t="b">
        <v>0</v>
      </c>
      <c r="G29" s="11" t="s">
        <v>96</v>
      </c>
      <c r="H29" s="21">
        <f>+$B$11+H13</f>
        <v>1400</v>
      </c>
      <c r="I29" s="227">
        <f>+$B$12</f>
        <v>83.889623376000017</v>
      </c>
      <c r="J29" s="227">
        <f t="shared" ref="J29:J42" si="2">+I29*10*(100%-15%)</f>
        <v>713.0617986960001</v>
      </c>
      <c r="K29" s="227">
        <f t="shared" ref="K29:K42" si="3">+I29*20*(100%-25%)</f>
        <v>1258.3443506400004</v>
      </c>
      <c r="M29" s="37"/>
    </row>
    <row r="30" spans="1:18" x14ac:dyDescent="0.2">
      <c r="A30" s="2" t="s">
        <v>9</v>
      </c>
      <c r="B30" s="3" t="b">
        <v>1</v>
      </c>
      <c r="C30" s="3" t="b">
        <v>1</v>
      </c>
      <c r="D30" s="3" t="b">
        <v>0</v>
      </c>
      <c r="E30" s="3" t="b">
        <v>0</v>
      </c>
      <c r="F30" s="3" t="b">
        <v>0</v>
      </c>
      <c r="G30" s="11" t="s">
        <v>97</v>
      </c>
      <c r="H30" s="21">
        <f>+$B$11+$C$11+H13</f>
        <v>1600</v>
      </c>
      <c r="I30" s="227">
        <f>+$B$12+$C$12</f>
        <v>96.270460623999995</v>
      </c>
      <c r="J30" s="227">
        <f t="shared" si="2"/>
        <v>818.29891530399993</v>
      </c>
      <c r="K30" s="227">
        <f t="shared" si="3"/>
        <v>1444.05690936</v>
      </c>
      <c r="M30" s="37"/>
    </row>
    <row r="31" spans="1:18" x14ac:dyDescent="0.2">
      <c r="A31" s="2" t="s">
        <v>9</v>
      </c>
      <c r="B31" s="3" t="b">
        <v>1</v>
      </c>
      <c r="C31" s="3" t="b">
        <v>1</v>
      </c>
      <c r="D31" s="3" t="b">
        <v>0</v>
      </c>
      <c r="E31" s="3" t="b">
        <v>1</v>
      </c>
      <c r="F31" s="3" t="b">
        <v>0</v>
      </c>
      <c r="G31" s="11" t="s">
        <v>99</v>
      </c>
      <c r="H31" s="21">
        <f>+$B$11+$C$11+$E$11+H13</f>
        <v>2100</v>
      </c>
      <c r="I31" s="227">
        <f>+$B$12+$C$12+$E$12</f>
        <v>118.68119369599999</v>
      </c>
      <c r="J31" s="227">
        <f t="shared" si="2"/>
        <v>1008.7901464159999</v>
      </c>
      <c r="K31" s="227">
        <f t="shared" si="3"/>
        <v>1780.2179054399999</v>
      </c>
      <c r="M31" s="37"/>
    </row>
    <row r="32" spans="1:18" x14ac:dyDescent="0.2">
      <c r="A32" s="2" t="s">
        <v>9</v>
      </c>
      <c r="B32" s="3" t="b">
        <v>1</v>
      </c>
      <c r="C32" s="3" t="b">
        <v>0</v>
      </c>
      <c r="D32" s="3" t="b">
        <v>1</v>
      </c>
      <c r="E32" s="3" t="b">
        <v>0</v>
      </c>
      <c r="F32" s="3" t="b">
        <v>0</v>
      </c>
      <c r="G32" s="11" t="s">
        <v>98</v>
      </c>
      <c r="H32" s="21">
        <f>+$B$11+$D$11+H13</f>
        <v>1800</v>
      </c>
      <c r="I32" s="227">
        <f>+$B$12+$D$12</f>
        <v>106.30035644800002</v>
      </c>
      <c r="J32" s="227">
        <f t="shared" si="2"/>
        <v>903.55302980800013</v>
      </c>
      <c r="K32" s="227">
        <f t="shared" si="3"/>
        <v>1594.5053467200005</v>
      </c>
      <c r="M32" s="37"/>
    </row>
    <row r="33" spans="1:14" x14ac:dyDescent="0.2">
      <c r="A33" s="2" t="s">
        <v>9</v>
      </c>
      <c r="B33" s="3" t="b">
        <v>0</v>
      </c>
      <c r="C33" s="3" t="b">
        <v>1</v>
      </c>
      <c r="D33" s="3" t="b">
        <v>0</v>
      </c>
      <c r="E33" s="3" t="b">
        <v>0</v>
      </c>
      <c r="F33" s="3" t="b">
        <v>0</v>
      </c>
      <c r="G33" s="11" t="s">
        <v>14</v>
      </c>
      <c r="H33" s="21">
        <f>+$C$11+H13</f>
        <v>700</v>
      </c>
      <c r="I33" s="227">
        <f>+$C$12</f>
        <v>12.380837247999978</v>
      </c>
      <c r="J33" s="227">
        <f t="shared" si="2"/>
        <v>105.23711660799981</v>
      </c>
      <c r="K33" s="227">
        <f t="shared" si="3"/>
        <v>185.71255871999966</v>
      </c>
      <c r="L33" s="216"/>
      <c r="M33" s="217"/>
      <c r="N33" s="219"/>
    </row>
    <row r="34" spans="1:14" x14ac:dyDescent="0.2">
      <c r="A34" s="2" t="s">
        <v>9</v>
      </c>
      <c r="B34" s="3" t="b">
        <v>0</v>
      </c>
      <c r="C34" s="3" t="b">
        <v>1</v>
      </c>
      <c r="D34" s="3" t="b">
        <v>0</v>
      </c>
      <c r="E34" s="3" t="b">
        <v>1</v>
      </c>
      <c r="F34" s="3" t="b">
        <v>0</v>
      </c>
      <c r="G34" s="11" t="s">
        <v>17</v>
      </c>
      <c r="H34" s="21">
        <f>+$C$11+$E$11+H13</f>
        <v>1200</v>
      </c>
      <c r="I34" s="227">
        <f>+$C$12+$E$12</f>
        <v>34.791570319999977</v>
      </c>
      <c r="J34" s="227">
        <f t="shared" si="2"/>
        <v>295.72834771999982</v>
      </c>
      <c r="K34" s="227">
        <f t="shared" si="3"/>
        <v>521.87355479999962</v>
      </c>
      <c r="L34" s="216"/>
      <c r="M34" s="217"/>
    </row>
    <row r="35" spans="1:14" x14ac:dyDescent="0.2">
      <c r="A35" s="2" t="s">
        <v>9</v>
      </c>
      <c r="B35" s="3" t="b">
        <v>0</v>
      </c>
      <c r="C35" s="3" t="b">
        <v>0</v>
      </c>
      <c r="D35" s="3" t="b">
        <v>0</v>
      </c>
      <c r="E35" s="3" t="b">
        <v>1</v>
      </c>
      <c r="F35" s="3" t="b">
        <v>0</v>
      </c>
      <c r="G35" s="11" t="s">
        <v>16</v>
      </c>
      <c r="H35" s="317">
        <f>+$E$11+H13</f>
        <v>1000</v>
      </c>
      <c r="I35" s="227">
        <f>+$E$12</f>
        <v>22.410733071999999</v>
      </c>
      <c r="J35" s="227">
        <f t="shared" si="2"/>
        <v>190.49123111199998</v>
      </c>
      <c r="K35" s="227">
        <f t="shared" si="3"/>
        <v>336.16099608000002</v>
      </c>
      <c r="L35" s="323" t="s">
        <v>132</v>
      </c>
      <c r="M35" s="37"/>
    </row>
    <row r="36" spans="1:14" x14ac:dyDescent="0.2">
      <c r="A36" s="2" t="s">
        <v>9</v>
      </c>
      <c r="B36" s="3" t="b">
        <v>0</v>
      </c>
      <c r="C36" s="3" t="b">
        <v>0</v>
      </c>
      <c r="D36" s="3" t="b">
        <v>0</v>
      </c>
      <c r="E36" s="3" t="b">
        <v>0</v>
      </c>
      <c r="F36" s="3" t="b">
        <v>1</v>
      </c>
      <c r="G36" s="11" t="s">
        <v>1</v>
      </c>
      <c r="H36" s="21">
        <f>+$F$11+H13</f>
        <v>900</v>
      </c>
      <c r="I36" s="227">
        <f>+$F$12</f>
        <v>86.228751024000005</v>
      </c>
      <c r="J36" s="227">
        <f t="shared" si="2"/>
        <v>732.94438370400007</v>
      </c>
      <c r="K36" s="227">
        <f t="shared" si="3"/>
        <v>1293.43126536</v>
      </c>
      <c r="M36" s="37"/>
    </row>
    <row r="37" spans="1:14" x14ac:dyDescent="0.2">
      <c r="A37" s="2" t="s">
        <v>9</v>
      </c>
      <c r="B37" s="3" t="b">
        <v>1</v>
      </c>
      <c r="C37" s="3" t="b">
        <v>0</v>
      </c>
      <c r="D37" s="3" t="b">
        <v>0</v>
      </c>
      <c r="E37" s="3" t="b">
        <v>0</v>
      </c>
      <c r="F37" s="3" t="b">
        <v>1</v>
      </c>
      <c r="G37" s="11" t="s">
        <v>18</v>
      </c>
      <c r="H37" s="21">
        <f>+$B$11+$F$11+H13</f>
        <v>1800</v>
      </c>
      <c r="I37" s="227">
        <f>+$B$12+$F$12</f>
        <v>170.11837440000002</v>
      </c>
      <c r="J37" s="227">
        <f t="shared" si="2"/>
        <v>1446.0061824000002</v>
      </c>
      <c r="K37" s="227">
        <f t="shared" si="3"/>
        <v>2551.7756160000004</v>
      </c>
      <c r="L37" s="216"/>
      <c r="M37" s="217"/>
    </row>
    <row r="38" spans="1:14" x14ac:dyDescent="0.2">
      <c r="A38" s="2" t="s">
        <v>9</v>
      </c>
      <c r="B38" s="3" t="b">
        <v>1</v>
      </c>
      <c r="C38" s="3" t="b">
        <v>1</v>
      </c>
      <c r="D38" s="3" t="b">
        <v>0</v>
      </c>
      <c r="E38" s="3" t="b">
        <v>0</v>
      </c>
      <c r="F38" s="3" t="b">
        <v>1</v>
      </c>
      <c r="G38" s="11" t="s">
        <v>19</v>
      </c>
      <c r="H38" s="21">
        <f>+$B$11+$C$11+$F$11+H13</f>
        <v>2000</v>
      </c>
      <c r="I38" s="227">
        <f>+$B$12+$C$12+$F$12</f>
        <v>182.499211648</v>
      </c>
      <c r="J38" s="227">
        <f t="shared" si="2"/>
        <v>1551.2432990079999</v>
      </c>
      <c r="K38" s="227">
        <f t="shared" si="3"/>
        <v>2737.4881747200002</v>
      </c>
      <c r="L38" s="216"/>
      <c r="M38" s="217"/>
    </row>
    <row r="39" spans="1:14" x14ac:dyDescent="0.2">
      <c r="A39" s="2" t="s">
        <v>9</v>
      </c>
      <c r="B39" s="3" t="b">
        <v>1</v>
      </c>
      <c r="C39" s="3" t="b">
        <v>0</v>
      </c>
      <c r="D39" s="3" t="b">
        <v>0</v>
      </c>
      <c r="E39" s="3" t="b">
        <v>1</v>
      </c>
      <c r="F39" s="3" t="b">
        <v>1</v>
      </c>
      <c r="G39" s="11" t="s">
        <v>20</v>
      </c>
      <c r="H39" s="21">
        <f>+$B$11+$E$11+$F$11+H13</f>
        <v>2300</v>
      </c>
      <c r="I39" s="227">
        <f>+$B$12+$E$12+$F$12</f>
        <v>192.52910747200002</v>
      </c>
      <c r="J39" s="227">
        <f t="shared" si="2"/>
        <v>1636.4974135120003</v>
      </c>
      <c r="K39" s="227">
        <f t="shared" si="3"/>
        <v>2887.9366120800005</v>
      </c>
      <c r="L39" s="216"/>
      <c r="M39" s="217"/>
    </row>
    <row r="40" spans="1:14" x14ac:dyDescent="0.2">
      <c r="A40" s="2" t="s">
        <v>9</v>
      </c>
      <c r="B40" s="3" t="b">
        <v>0</v>
      </c>
      <c r="C40" s="3" t="b">
        <v>1</v>
      </c>
      <c r="D40" s="3" t="b">
        <v>0</v>
      </c>
      <c r="E40" s="3" t="b">
        <v>0</v>
      </c>
      <c r="F40" s="3" t="b">
        <v>1</v>
      </c>
      <c r="G40" s="11" t="s">
        <v>21</v>
      </c>
      <c r="H40" s="21">
        <f>+$C$11+$F$11+H13</f>
        <v>1100</v>
      </c>
      <c r="I40" s="227">
        <f>+$C$12+$F$12</f>
        <v>98.609588271999982</v>
      </c>
      <c r="J40" s="227">
        <f t="shared" si="2"/>
        <v>838.1815003119998</v>
      </c>
      <c r="K40" s="227">
        <f t="shared" si="3"/>
        <v>1479.1438240799998</v>
      </c>
      <c r="L40" s="216"/>
      <c r="M40" s="217"/>
    </row>
    <row r="41" spans="1:14" x14ac:dyDescent="0.2">
      <c r="A41" s="2" t="s">
        <v>9</v>
      </c>
      <c r="B41" s="3" t="b">
        <v>0</v>
      </c>
      <c r="C41" s="3" t="b">
        <v>1</v>
      </c>
      <c r="D41" s="3" t="b">
        <v>0</v>
      </c>
      <c r="E41" s="3" t="b">
        <v>1</v>
      </c>
      <c r="F41" s="3" t="b">
        <v>1</v>
      </c>
      <c r="G41" s="11" t="s">
        <v>22</v>
      </c>
      <c r="H41" s="21">
        <f>+$C$11+$E$11+$F$11+H13</f>
        <v>1600</v>
      </c>
      <c r="I41" s="227">
        <f>+$C$12+$E$12+$F$12</f>
        <v>121.02032134399998</v>
      </c>
      <c r="J41" s="227">
        <f t="shared" si="2"/>
        <v>1028.6727314239999</v>
      </c>
      <c r="K41" s="227">
        <f t="shared" si="3"/>
        <v>1815.30482016</v>
      </c>
      <c r="L41" s="216"/>
      <c r="M41" s="217"/>
    </row>
    <row r="42" spans="1:14" x14ac:dyDescent="0.2">
      <c r="A42" s="2" t="s">
        <v>9</v>
      </c>
      <c r="B42" s="3" t="b">
        <v>0</v>
      </c>
      <c r="C42" s="3" t="b">
        <v>0</v>
      </c>
      <c r="D42" s="3" t="b">
        <v>0</v>
      </c>
      <c r="E42" s="3" t="b">
        <v>1</v>
      </c>
      <c r="F42" s="3" t="b">
        <v>1</v>
      </c>
      <c r="G42" s="11" t="s">
        <v>23</v>
      </c>
      <c r="H42" s="21">
        <f>+$E$11+$F$11+H13</f>
        <v>1400</v>
      </c>
      <c r="I42" s="227">
        <f>+$E$12+$F$12</f>
        <v>108.639484096</v>
      </c>
      <c r="J42" s="227">
        <f t="shared" si="2"/>
        <v>923.435614816</v>
      </c>
      <c r="K42" s="227">
        <f t="shared" si="3"/>
        <v>1629.5922614400001</v>
      </c>
      <c r="L42" s="216"/>
      <c r="M42" s="217"/>
    </row>
    <row r="43" spans="1:14" ht="22" x14ac:dyDescent="0.3">
      <c r="A43" s="36" t="s">
        <v>129</v>
      </c>
    </row>
    <row r="44" spans="1:14" ht="22" x14ac:dyDescent="0.3">
      <c r="A44" s="36" t="s">
        <v>135</v>
      </c>
    </row>
    <row r="45" spans="1:14" ht="22" x14ac:dyDescent="0.3">
      <c r="A45" s="36" t="s">
        <v>130</v>
      </c>
      <c r="I45" s="35"/>
    </row>
  </sheetData>
  <mergeCells count="1">
    <mergeCell ref="A3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795E-47B5-43F5-BD89-ABB45423861C}">
  <sheetPr>
    <tabColor rgb="FF92D050"/>
  </sheetPr>
  <dimension ref="A1:S45"/>
  <sheetViews>
    <sheetView topLeftCell="A7" workbookViewId="0">
      <selection activeCell="H13" activeCellId="2" sqref="B11 D11 H13"/>
    </sheetView>
  </sheetViews>
  <sheetFormatPr baseColWidth="10" defaultColWidth="8.83203125" defaultRowHeight="15" x14ac:dyDescent="0.2"/>
  <cols>
    <col min="1" max="1" width="15.6640625" customWidth="1"/>
    <col min="2" max="6" width="10.1640625" customWidth="1"/>
    <col min="7" max="7" width="15.5" bestFit="1" customWidth="1"/>
    <col min="8" max="8" width="12.83203125" customWidth="1"/>
    <col min="9" max="10" width="15.83203125" bestFit="1" customWidth="1"/>
    <col min="11" max="11" width="16.83203125" bestFit="1" customWidth="1"/>
    <col min="12" max="12" width="4.6640625" customWidth="1"/>
    <col min="13" max="13" width="11.6640625" style="324" bestFit="1" customWidth="1"/>
    <col min="15" max="15" width="10.6640625" bestFit="1" customWidth="1"/>
  </cols>
  <sheetData>
    <row r="1" spans="1:19" x14ac:dyDescent="0.2">
      <c r="A1" s="6" t="s">
        <v>40</v>
      </c>
      <c r="B1" s="283"/>
      <c r="C1" s="283"/>
      <c r="D1" s="283"/>
      <c r="E1" s="283"/>
      <c r="F1" s="283"/>
      <c r="H1" s="283"/>
    </row>
    <row r="3" spans="1:19" ht="14.5" customHeight="1" x14ac:dyDescent="0.2">
      <c r="A3" s="337" t="s">
        <v>37</v>
      </c>
      <c r="B3" s="5" t="s">
        <v>2</v>
      </c>
      <c r="C3" s="5" t="s">
        <v>3</v>
      </c>
      <c r="D3" s="5" t="s">
        <v>34</v>
      </c>
      <c r="E3" s="5" t="s">
        <v>35</v>
      </c>
      <c r="F3" s="5" t="s">
        <v>6</v>
      </c>
      <c r="J3" s="2" t="s">
        <v>29</v>
      </c>
      <c r="K3" s="2" t="s">
        <v>45</v>
      </c>
    </row>
    <row r="4" spans="1:19" x14ac:dyDescent="0.2">
      <c r="A4" s="337"/>
      <c r="B4" s="23">
        <f>+'COLLECTION PRICE'!C34</f>
        <v>35000</v>
      </c>
      <c r="C4" s="23">
        <f>+'COLLECTION PRICE'!D34</f>
        <v>40000</v>
      </c>
      <c r="D4" s="23">
        <f>+'COLLECTION PRICE'!E34</f>
        <v>45000</v>
      </c>
      <c r="E4" s="23">
        <f>+'COLLECTION PRICE'!F34</f>
        <v>52500</v>
      </c>
      <c r="F4" s="23">
        <f>+'COLLECTION PRICE'!G34</f>
        <v>62500</v>
      </c>
      <c r="G4" s="6" t="s">
        <v>51</v>
      </c>
      <c r="H4" s="37"/>
      <c r="J4" s="2" t="s">
        <v>14</v>
      </c>
      <c r="K4" s="2" t="s">
        <v>46</v>
      </c>
    </row>
    <row r="5" spans="1:19" x14ac:dyDescent="0.2">
      <c r="A5" s="337"/>
      <c r="B5" s="23">
        <f>+'STORAGE PRICE'!C61</f>
        <v>2237</v>
      </c>
      <c r="C5" s="23">
        <f>+'STORAGE PRICE'!D61</f>
        <v>2799</v>
      </c>
      <c r="D5" s="23">
        <f>+'STORAGE PRICE'!E61</f>
        <v>3696</v>
      </c>
      <c r="E5" s="23">
        <f>+'STORAGE PRICE'!F61</f>
        <v>4256</v>
      </c>
      <c r="F5" s="23">
        <f>+'STORAGE PRICE'!G61</f>
        <v>5056</v>
      </c>
      <c r="G5" s="6" t="s">
        <v>52</v>
      </c>
      <c r="J5" s="2" t="s">
        <v>15</v>
      </c>
      <c r="K5" s="2" t="s">
        <v>47</v>
      </c>
    </row>
    <row r="6" spans="1:19" x14ac:dyDescent="0.2">
      <c r="A6" s="337"/>
      <c r="B6" s="23">
        <f>+'STORAGE PRICE'!C62</f>
        <v>10066.5</v>
      </c>
      <c r="C6" s="23">
        <f>+'STORAGE PRICE'!D62</f>
        <v>12595.5</v>
      </c>
      <c r="D6" s="23">
        <f>+'STORAGE PRICE'!E62</f>
        <v>16632</v>
      </c>
      <c r="E6" s="23">
        <f>+'STORAGE PRICE'!F62</f>
        <v>19152</v>
      </c>
      <c r="F6" s="23">
        <f>+'STORAGE PRICE'!G62</f>
        <v>22746</v>
      </c>
      <c r="G6" s="6" t="s">
        <v>53</v>
      </c>
      <c r="J6" s="2" t="s">
        <v>16</v>
      </c>
      <c r="K6" s="2" t="s">
        <v>47</v>
      </c>
    </row>
    <row r="7" spans="1:19" x14ac:dyDescent="0.2">
      <c r="A7" s="337"/>
      <c r="B7" s="23">
        <f>+'STORAGE PRICE'!C63</f>
        <v>19014.5</v>
      </c>
      <c r="C7" s="23">
        <f>+'STORAGE PRICE'!D63</f>
        <v>23791.5</v>
      </c>
      <c r="D7" s="23">
        <f>+'STORAGE PRICE'!E63</f>
        <v>31416</v>
      </c>
      <c r="E7" s="23">
        <f>+'STORAGE PRICE'!F63</f>
        <v>36176</v>
      </c>
      <c r="F7" s="23">
        <f>+'STORAGE PRICE'!G63</f>
        <v>42963</v>
      </c>
      <c r="G7" s="6" t="s">
        <v>54</v>
      </c>
      <c r="J7" s="2" t="s">
        <v>1</v>
      </c>
      <c r="K7" s="2" t="s">
        <v>48</v>
      </c>
    </row>
    <row r="9" spans="1:19" x14ac:dyDescent="0.2">
      <c r="A9" s="6" t="s">
        <v>25</v>
      </c>
    </row>
    <row r="10" spans="1:19" ht="14.5" customHeight="1" x14ac:dyDescent="0.2">
      <c r="A10" s="24" t="s">
        <v>12</v>
      </c>
      <c r="B10" s="25" t="s">
        <v>29</v>
      </c>
      <c r="C10" s="25" t="s">
        <v>14</v>
      </c>
      <c r="D10" s="25" t="s">
        <v>15</v>
      </c>
      <c r="E10" s="25" t="s">
        <v>16</v>
      </c>
      <c r="F10" s="25" t="s">
        <v>1</v>
      </c>
      <c r="G10" s="20"/>
      <c r="H10" s="20" t="s">
        <v>27</v>
      </c>
      <c r="I10" s="20"/>
      <c r="J10" s="20"/>
      <c r="K10" s="20"/>
      <c r="L10" s="319"/>
    </row>
    <row r="11" spans="1:19" x14ac:dyDescent="0.2">
      <c r="A11" s="24" t="s">
        <v>32</v>
      </c>
      <c r="B11" s="226">
        <f>+B4-H13</f>
        <v>22500</v>
      </c>
      <c r="C11" s="226">
        <f>+C4-B4</f>
        <v>5000</v>
      </c>
      <c r="D11" s="226">
        <f>+D4-B4</f>
        <v>10000</v>
      </c>
      <c r="E11" s="226">
        <f>+E4-C4</f>
        <v>12500</v>
      </c>
      <c r="F11" s="226">
        <f>+F4-E4</f>
        <v>10000</v>
      </c>
      <c r="G11" s="20" t="s">
        <v>12</v>
      </c>
      <c r="H11" s="20" t="s">
        <v>10</v>
      </c>
      <c r="I11" s="20"/>
      <c r="J11" s="20" t="s">
        <v>42</v>
      </c>
      <c r="K11" s="20" t="s">
        <v>43</v>
      </c>
      <c r="L11" s="319"/>
      <c r="M11" s="325" t="s">
        <v>51</v>
      </c>
    </row>
    <row r="12" spans="1:19" ht="16" thickBot="1" x14ac:dyDescent="0.25">
      <c r="A12" s="29" t="s">
        <v>33</v>
      </c>
      <c r="B12" s="229">
        <f>+B5</f>
        <v>2237</v>
      </c>
      <c r="C12" s="229">
        <f>+C5-B5</f>
        <v>562</v>
      </c>
      <c r="D12" s="229">
        <f>+D5-B12</f>
        <v>1459</v>
      </c>
      <c r="E12" s="229">
        <f>+E5-C5</f>
        <v>1457</v>
      </c>
      <c r="F12" s="229">
        <f>+F5-E5</f>
        <v>800</v>
      </c>
      <c r="G12" s="30" t="s">
        <v>13</v>
      </c>
      <c r="H12" s="30" t="s">
        <v>30</v>
      </c>
      <c r="I12" s="30" t="s">
        <v>31</v>
      </c>
      <c r="J12" s="30" t="s">
        <v>41</v>
      </c>
      <c r="K12" s="30" t="s">
        <v>38</v>
      </c>
      <c r="L12" s="318"/>
      <c r="M12" s="326" t="s">
        <v>136</v>
      </c>
    </row>
    <row r="13" spans="1:19" ht="16" thickTop="1" x14ac:dyDescent="0.2">
      <c r="A13" s="31" t="s">
        <v>127</v>
      </c>
      <c r="B13" s="32" t="b">
        <v>0</v>
      </c>
      <c r="C13" s="32" t="b">
        <v>0</v>
      </c>
      <c r="D13" s="32" t="b">
        <v>0</v>
      </c>
      <c r="E13" s="32" t="b">
        <v>0</v>
      </c>
      <c r="F13" s="32" t="b">
        <v>0</v>
      </c>
      <c r="G13" s="33" t="s">
        <v>126</v>
      </c>
      <c r="H13" s="34">
        <f>500*25</f>
        <v>12500</v>
      </c>
      <c r="I13" s="33"/>
      <c r="J13" s="33"/>
      <c r="K13" s="33"/>
      <c r="L13" s="320"/>
      <c r="M13" s="327">
        <f>+H13/25</f>
        <v>500</v>
      </c>
    </row>
    <row r="14" spans="1:19" x14ac:dyDescent="0.2">
      <c r="A14" s="18" t="s">
        <v>2</v>
      </c>
      <c r="B14" s="19" t="b">
        <v>1</v>
      </c>
      <c r="C14" s="19" t="b">
        <v>0</v>
      </c>
      <c r="D14" s="19" t="b">
        <v>0</v>
      </c>
      <c r="E14" s="19" t="b">
        <v>0</v>
      </c>
      <c r="F14" s="19" t="b">
        <v>0</v>
      </c>
      <c r="G14" s="18" t="s">
        <v>2</v>
      </c>
      <c r="H14" s="22">
        <f>+B4</f>
        <v>35000</v>
      </c>
      <c r="I14" s="27">
        <f>+B5</f>
        <v>2237</v>
      </c>
      <c r="J14" s="27">
        <f>+B6</f>
        <v>10066.5</v>
      </c>
      <c r="K14" s="27">
        <f>+B7</f>
        <v>19014.5</v>
      </c>
      <c r="L14" s="321"/>
      <c r="M14" s="328">
        <f t="shared" ref="M14:M42" si="0">+H14/25</f>
        <v>1400</v>
      </c>
      <c r="N14" s="35"/>
      <c r="Q14" s="26"/>
      <c r="S14" s="26"/>
    </row>
    <row r="15" spans="1:19" x14ac:dyDescent="0.2">
      <c r="A15" s="18" t="s">
        <v>3</v>
      </c>
      <c r="B15" s="19" t="b">
        <v>1</v>
      </c>
      <c r="C15" s="19" t="b">
        <v>1</v>
      </c>
      <c r="D15" s="19" t="b">
        <v>0</v>
      </c>
      <c r="E15" s="19" t="b">
        <v>0</v>
      </c>
      <c r="F15" s="19" t="b">
        <v>0</v>
      </c>
      <c r="G15" s="18" t="s">
        <v>3</v>
      </c>
      <c r="H15" s="22">
        <f>+C4</f>
        <v>40000</v>
      </c>
      <c r="I15" s="27">
        <f>+C5</f>
        <v>2799</v>
      </c>
      <c r="J15" s="27">
        <f>+C6</f>
        <v>12595.5</v>
      </c>
      <c r="K15" s="27">
        <f>+C7</f>
        <v>23791.5</v>
      </c>
      <c r="L15" s="321"/>
      <c r="M15" s="328">
        <f t="shared" si="0"/>
        <v>1600</v>
      </c>
    </row>
    <row r="16" spans="1:19" x14ac:dyDescent="0.2">
      <c r="A16" s="2" t="s">
        <v>3</v>
      </c>
      <c r="B16" s="3" t="b">
        <v>1</v>
      </c>
      <c r="C16" s="3" t="b">
        <v>0</v>
      </c>
      <c r="D16" s="3" t="b">
        <v>0</v>
      </c>
      <c r="E16" s="3" t="b">
        <v>0</v>
      </c>
      <c r="F16" s="3" t="b">
        <v>0</v>
      </c>
      <c r="G16" s="11" t="s">
        <v>96</v>
      </c>
      <c r="H16" s="21">
        <f>+$B$11+H13</f>
        <v>35000</v>
      </c>
      <c r="I16" s="227">
        <f>+$B$12</f>
        <v>2237</v>
      </c>
      <c r="J16" s="227">
        <f>+I16*5*(100%-10%)</f>
        <v>10066.5</v>
      </c>
      <c r="K16" s="227">
        <f>+I16*10*(100%-15%)</f>
        <v>19014.5</v>
      </c>
      <c r="L16" s="322"/>
      <c r="M16" s="329">
        <f t="shared" si="0"/>
        <v>1400</v>
      </c>
    </row>
    <row r="17" spans="1:17" x14ac:dyDescent="0.2">
      <c r="A17" s="2" t="s">
        <v>3</v>
      </c>
      <c r="B17" s="3" t="b">
        <v>0</v>
      </c>
      <c r="C17" s="3" t="b">
        <v>1</v>
      </c>
      <c r="D17" s="3" t="b">
        <v>0</v>
      </c>
      <c r="E17" s="3" t="b">
        <v>0</v>
      </c>
      <c r="F17" s="3" t="b">
        <v>0</v>
      </c>
      <c r="G17" s="11" t="s">
        <v>14</v>
      </c>
      <c r="H17" s="21">
        <f>+$C$11+H13</f>
        <v>17500</v>
      </c>
      <c r="I17" s="227">
        <f>+$C$12</f>
        <v>562</v>
      </c>
      <c r="J17" s="227">
        <f>+I17*5*(100%-10%)</f>
        <v>2529</v>
      </c>
      <c r="K17" s="227">
        <f>+I17*10*(100%-15%)</f>
        <v>4777</v>
      </c>
      <c r="L17" s="322"/>
      <c r="M17" s="329">
        <f t="shared" si="0"/>
        <v>700</v>
      </c>
      <c r="N17" s="217"/>
      <c r="O17" s="219"/>
    </row>
    <row r="18" spans="1:17" x14ac:dyDescent="0.2">
      <c r="A18" s="18" t="s">
        <v>7</v>
      </c>
      <c r="B18" s="19" t="b">
        <v>1</v>
      </c>
      <c r="C18" s="19" t="b">
        <v>0</v>
      </c>
      <c r="D18" s="19" t="b">
        <v>1</v>
      </c>
      <c r="E18" s="19" t="b">
        <v>0</v>
      </c>
      <c r="F18" s="19" t="b">
        <v>0</v>
      </c>
      <c r="G18" s="18" t="s">
        <v>7</v>
      </c>
      <c r="H18" s="22">
        <f>+D4</f>
        <v>45000</v>
      </c>
      <c r="I18" s="27">
        <f>+D5</f>
        <v>3696</v>
      </c>
      <c r="J18" s="27">
        <f>+D6</f>
        <v>16632</v>
      </c>
      <c r="K18" s="27">
        <f>+D7</f>
        <v>31416</v>
      </c>
      <c r="L18" s="321"/>
      <c r="M18" s="328">
        <f t="shared" si="0"/>
        <v>1800</v>
      </c>
      <c r="N18" s="37"/>
    </row>
    <row r="19" spans="1:17" x14ac:dyDescent="0.2">
      <c r="A19" s="2" t="s">
        <v>7</v>
      </c>
      <c r="B19" s="3" t="b">
        <v>1</v>
      </c>
      <c r="C19" s="3" t="b">
        <v>0</v>
      </c>
      <c r="D19" s="3" t="b">
        <v>0</v>
      </c>
      <c r="E19" s="3" t="b">
        <v>0</v>
      </c>
      <c r="F19" s="3" t="b">
        <v>0</v>
      </c>
      <c r="G19" s="11" t="s">
        <v>96</v>
      </c>
      <c r="H19" s="21">
        <f>+$B$11+H13</f>
        <v>35000</v>
      </c>
      <c r="I19" s="227">
        <f>+$B$12</f>
        <v>2237</v>
      </c>
      <c r="J19" s="227">
        <f>+I19*5*(100%-10%)</f>
        <v>10066.5</v>
      </c>
      <c r="K19" s="227">
        <f>+I19*10*(100%-15%)</f>
        <v>19014.5</v>
      </c>
      <c r="L19" s="322"/>
      <c r="M19" s="329">
        <f t="shared" si="0"/>
        <v>1400</v>
      </c>
      <c r="N19" s="37"/>
    </row>
    <row r="20" spans="1:17" x14ac:dyDescent="0.2">
      <c r="A20" s="2" t="s">
        <v>7</v>
      </c>
      <c r="B20" s="3" t="b">
        <v>0</v>
      </c>
      <c r="C20" s="3" t="b">
        <v>0</v>
      </c>
      <c r="D20" s="3" t="b">
        <v>1</v>
      </c>
      <c r="E20" s="3" t="b">
        <v>0</v>
      </c>
      <c r="F20" s="3" t="b">
        <v>0</v>
      </c>
      <c r="G20" s="11" t="s">
        <v>15</v>
      </c>
      <c r="H20" s="21">
        <f>+$D$11+H13</f>
        <v>22500</v>
      </c>
      <c r="I20" s="227">
        <f>+$D$12</f>
        <v>1459</v>
      </c>
      <c r="J20" s="227">
        <f>+I20*5*(100%-10%)</f>
        <v>6565.5</v>
      </c>
      <c r="K20" s="227">
        <f>+I20*10*(100%-15%)</f>
        <v>12401.5</v>
      </c>
      <c r="L20" s="322"/>
      <c r="M20" s="329">
        <f t="shared" si="0"/>
        <v>900</v>
      </c>
      <c r="N20" s="37"/>
      <c r="Q20" s="38"/>
    </row>
    <row r="21" spans="1:17" x14ac:dyDescent="0.2">
      <c r="A21" s="18" t="s">
        <v>8</v>
      </c>
      <c r="B21" s="19" t="b">
        <v>1</v>
      </c>
      <c r="C21" s="19" t="b">
        <v>1</v>
      </c>
      <c r="D21" s="19" t="b">
        <v>0</v>
      </c>
      <c r="E21" s="19" t="b">
        <v>1</v>
      </c>
      <c r="F21" s="19" t="b">
        <v>0</v>
      </c>
      <c r="G21" s="18" t="s">
        <v>8</v>
      </c>
      <c r="H21" s="22">
        <f>+E4</f>
        <v>52500</v>
      </c>
      <c r="I21" s="27">
        <f>+E5</f>
        <v>4256</v>
      </c>
      <c r="J21" s="27">
        <f>+E6</f>
        <v>19152</v>
      </c>
      <c r="K21" s="27">
        <f>+E7</f>
        <v>36176</v>
      </c>
      <c r="L21" s="321"/>
      <c r="M21" s="328">
        <f t="shared" si="0"/>
        <v>2100</v>
      </c>
      <c r="N21" s="37"/>
    </row>
    <row r="22" spans="1:17" x14ac:dyDescent="0.2">
      <c r="A22" s="2" t="s">
        <v>8</v>
      </c>
      <c r="B22" s="3" t="b">
        <v>1</v>
      </c>
      <c r="C22" s="3" t="b">
        <v>0</v>
      </c>
      <c r="D22" s="3" t="b">
        <v>0</v>
      </c>
      <c r="E22" s="3" t="b">
        <v>0</v>
      </c>
      <c r="F22" s="3" t="b">
        <v>0</v>
      </c>
      <c r="G22" s="11" t="s">
        <v>96</v>
      </c>
      <c r="H22" s="21">
        <f>+$B$11+H13</f>
        <v>35000</v>
      </c>
      <c r="I22" s="227">
        <f>+$B$12</f>
        <v>2237</v>
      </c>
      <c r="J22" s="227">
        <f t="shared" ref="J22:J27" si="1">+I22*5*(100%-10%)</f>
        <v>10066.5</v>
      </c>
      <c r="K22" s="227">
        <f t="shared" ref="K22:K27" si="2">+I22*10*(100%-15%)</f>
        <v>19014.5</v>
      </c>
      <c r="L22" s="322"/>
      <c r="M22" s="329">
        <f t="shared" si="0"/>
        <v>1400</v>
      </c>
      <c r="N22" s="37"/>
    </row>
    <row r="23" spans="1:17" x14ac:dyDescent="0.2">
      <c r="A23" s="2" t="s">
        <v>8</v>
      </c>
      <c r="B23" s="3" t="b">
        <v>1</v>
      </c>
      <c r="C23" s="3" t="b">
        <v>1</v>
      </c>
      <c r="D23" s="3" t="b">
        <v>0</v>
      </c>
      <c r="E23" s="3" t="b">
        <v>0</v>
      </c>
      <c r="F23" s="3" t="b">
        <v>0</v>
      </c>
      <c r="G23" s="11" t="s">
        <v>97</v>
      </c>
      <c r="H23" s="21">
        <f>+$B$11+$C$11+H13</f>
        <v>40000</v>
      </c>
      <c r="I23" s="227">
        <f>+$B$12+$C$12</f>
        <v>2799</v>
      </c>
      <c r="J23" s="227">
        <f t="shared" si="1"/>
        <v>12595.5</v>
      </c>
      <c r="K23" s="227">
        <f t="shared" si="2"/>
        <v>23791.5</v>
      </c>
      <c r="L23" s="322"/>
      <c r="M23" s="329">
        <f t="shared" si="0"/>
        <v>1600</v>
      </c>
      <c r="N23" s="37"/>
    </row>
    <row r="24" spans="1:17" x14ac:dyDescent="0.2">
      <c r="A24" s="2" t="s">
        <v>8</v>
      </c>
      <c r="B24" s="3" t="b">
        <v>1</v>
      </c>
      <c r="C24" s="3" t="b">
        <v>0</v>
      </c>
      <c r="D24" s="3" t="b">
        <v>1</v>
      </c>
      <c r="E24" s="3" t="b">
        <v>0</v>
      </c>
      <c r="F24" s="3" t="b">
        <v>0</v>
      </c>
      <c r="G24" s="11" t="s">
        <v>98</v>
      </c>
      <c r="H24" s="21">
        <f>+$B$11+$D$11+H13</f>
        <v>45000</v>
      </c>
      <c r="I24" s="227">
        <f>+$B$12+$D$12</f>
        <v>3696</v>
      </c>
      <c r="J24" s="227">
        <f t="shared" si="1"/>
        <v>16632</v>
      </c>
      <c r="K24" s="227">
        <f t="shared" si="2"/>
        <v>31416</v>
      </c>
      <c r="L24" s="322"/>
      <c r="M24" s="329">
        <f t="shared" si="0"/>
        <v>1800</v>
      </c>
      <c r="N24" s="37"/>
    </row>
    <row r="25" spans="1:17" x14ac:dyDescent="0.2">
      <c r="A25" s="2" t="s">
        <v>8</v>
      </c>
      <c r="B25" s="3" t="b">
        <v>0</v>
      </c>
      <c r="C25" s="3" t="b">
        <v>1</v>
      </c>
      <c r="D25" s="3" t="b">
        <v>0</v>
      </c>
      <c r="E25" s="3" t="b">
        <v>0</v>
      </c>
      <c r="F25" s="3" t="b">
        <v>0</v>
      </c>
      <c r="G25" s="11" t="s">
        <v>14</v>
      </c>
      <c r="H25" s="21">
        <f>+$C$11+H13</f>
        <v>17500</v>
      </c>
      <c r="I25" s="227">
        <f>+$C$12</f>
        <v>562</v>
      </c>
      <c r="J25" s="227">
        <f t="shared" si="1"/>
        <v>2529</v>
      </c>
      <c r="K25" s="227">
        <f t="shared" si="2"/>
        <v>4777</v>
      </c>
      <c r="L25" s="322"/>
      <c r="M25" s="329">
        <f t="shared" si="0"/>
        <v>700</v>
      </c>
      <c r="N25" s="217"/>
      <c r="O25" s="219"/>
    </row>
    <row r="26" spans="1:17" x14ac:dyDescent="0.2">
      <c r="A26" s="2" t="s">
        <v>8</v>
      </c>
      <c r="B26" s="3" t="b">
        <v>0</v>
      </c>
      <c r="C26" s="3" t="b">
        <v>1</v>
      </c>
      <c r="D26" s="3" t="b">
        <v>0</v>
      </c>
      <c r="E26" s="3" t="b">
        <v>1</v>
      </c>
      <c r="F26" s="3" t="b">
        <v>0</v>
      </c>
      <c r="G26" s="11" t="s">
        <v>17</v>
      </c>
      <c r="H26" s="21">
        <f>+$C$11+$E$11+H13</f>
        <v>30000</v>
      </c>
      <c r="I26" s="227">
        <f>+$C$12+$E$12</f>
        <v>2019</v>
      </c>
      <c r="J26" s="227">
        <f t="shared" si="1"/>
        <v>9085.5</v>
      </c>
      <c r="K26" s="227">
        <f t="shared" si="2"/>
        <v>17161.5</v>
      </c>
      <c r="L26" s="322"/>
      <c r="M26" s="329">
        <f t="shared" si="0"/>
        <v>1200</v>
      </c>
      <c r="N26" s="217"/>
    </row>
    <row r="27" spans="1:17" x14ac:dyDescent="0.2">
      <c r="A27" s="2" t="s">
        <v>8</v>
      </c>
      <c r="B27" s="3" t="b">
        <v>0</v>
      </c>
      <c r="C27" s="3" t="b">
        <v>0</v>
      </c>
      <c r="D27" s="3" t="b">
        <v>0</v>
      </c>
      <c r="E27" s="3" t="b">
        <v>1</v>
      </c>
      <c r="F27" s="3" t="b">
        <v>0</v>
      </c>
      <c r="G27" s="11" t="s">
        <v>16</v>
      </c>
      <c r="H27" s="21">
        <f>+$E$11+H13</f>
        <v>25000</v>
      </c>
      <c r="I27" s="227">
        <f>+$E$12</f>
        <v>1457</v>
      </c>
      <c r="J27" s="227">
        <f t="shared" si="1"/>
        <v>6556.5</v>
      </c>
      <c r="K27" s="227">
        <f t="shared" si="2"/>
        <v>12384.5</v>
      </c>
      <c r="L27" s="322"/>
      <c r="M27" s="329">
        <f t="shared" si="0"/>
        <v>1000</v>
      </c>
      <c r="N27" s="37"/>
    </row>
    <row r="28" spans="1:17" x14ac:dyDescent="0.2">
      <c r="A28" s="18" t="s">
        <v>9</v>
      </c>
      <c r="B28" s="19" t="b">
        <v>1</v>
      </c>
      <c r="C28" s="19" t="b">
        <v>1</v>
      </c>
      <c r="D28" s="19" t="b">
        <v>0</v>
      </c>
      <c r="E28" s="19" t="b">
        <v>1</v>
      </c>
      <c r="F28" s="19" t="b">
        <v>1</v>
      </c>
      <c r="G28" s="18" t="s">
        <v>6</v>
      </c>
      <c r="H28" s="22">
        <f>+F4</f>
        <v>62500</v>
      </c>
      <c r="I28" s="27">
        <f>+F5</f>
        <v>5056</v>
      </c>
      <c r="J28" s="27">
        <f>+F6</f>
        <v>22746</v>
      </c>
      <c r="K28" s="27">
        <f>+F7</f>
        <v>42963</v>
      </c>
      <c r="L28" s="321"/>
      <c r="M28" s="328">
        <f t="shared" si="0"/>
        <v>2500</v>
      </c>
      <c r="N28" s="37"/>
      <c r="Q28" s="37"/>
    </row>
    <row r="29" spans="1:17" x14ac:dyDescent="0.2">
      <c r="A29" s="2" t="s">
        <v>9</v>
      </c>
      <c r="B29" s="3" t="b">
        <v>1</v>
      </c>
      <c r="C29" s="3" t="b">
        <v>0</v>
      </c>
      <c r="D29" s="3" t="b">
        <v>0</v>
      </c>
      <c r="E29" s="3" t="b">
        <v>0</v>
      </c>
      <c r="F29" s="3" t="b">
        <v>0</v>
      </c>
      <c r="G29" s="11" t="s">
        <v>96</v>
      </c>
      <c r="H29" s="21">
        <f>+$B$11+H13</f>
        <v>35000</v>
      </c>
      <c r="I29" s="227">
        <f>+$B$12</f>
        <v>2237</v>
      </c>
      <c r="J29" s="227">
        <f t="shared" ref="J29:J42" si="3">+I29*5*(100%-10%)</f>
        <v>10066.5</v>
      </c>
      <c r="K29" s="227">
        <f t="shared" ref="K29:K42" si="4">+I29*10*(100%-15%)</f>
        <v>19014.5</v>
      </c>
      <c r="L29" s="322"/>
      <c r="M29" s="329">
        <f t="shared" si="0"/>
        <v>1400</v>
      </c>
      <c r="N29" s="37"/>
    </row>
    <row r="30" spans="1:17" x14ac:dyDescent="0.2">
      <c r="A30" s="2" t="s">
        <v>9</v>
      </c>
      <c r="B30" s="3" t="b">
        <v>1</v>
      </c>
      <c r="C30" s="3" t="b">
        <v>1</v>
      </c>
      <c r="D30" s="3" t="b">
        <v>0</v>
      </c>
      <c r="E30" s="3" t="b">
        <v>0</v>
      </c>
      <c r="F30" s="3" t="b">
        <v>0</v>
      </c>
      <c r="G30" s="11" t="s">
        <v>97</v>
      </c>
      <c r="H30" s="21">
        <f>+$B$11+$C$11+H13</f>
        <v>40000</v>
      </c>
      <c r="I30" s="227">
        <f>+$B$12+$C$12</f>
        <v>2799</v>
      </c>
      <c r="J30" s="227">
        <f t="shared" si="3"/>
        <v>12595.5</v>
      </c>
      <c r="K30" s="227">
        <f t="shared" si="4"/>
        <v>23791.5</v>
      </c>
      <c r="L30" s="322"/>
      <c r="M30" s="329">
        <f t="shared" si="0"/>
        <v>1600</v>
      </c>
      <c r="N30" s="37"/>
    </row>
    <row r="31" spans="1:17" x14ac:dyDescent="0.2">
      <c r="A31" s="2" t="s">
        <v>9</v>
      </c>
      <c r="B31" s="3" t="b">
        <v>1</v>
      </c>
      <c r="C31" s="3" t="b">
        <v>1</v>
      </c>
      <c r="D31" s="3" t="b">
        <v>0</v>
      </c>
      <c r="E31" s="3" t="b">
        <v>1</v>
      </c>
      <c r="F31" s="3" t="b">
        <v>0</v>
      </c>
      <c r="G31" s="11" t="s">
        <v>99</v>
      </c>
      <c r="H31" s="21">
        <f>+$B$11+$C$11+$E$11+H13</f>
        <v>52500</v>
      </c>
      <c r="I31" s="227">
        <f>+$B$12+$C$12+$E$12</f>
        <v>4256</v>
      </c>
      <c r="J31" s="227">
        <f t="shared" si="3"/>
        <v>19152</v>
      </c>
      <c r="K31" s="227">
        <f t="shared" si="4"/>
        <v>36176</v>
      </c>
      <c r="L31" s="322"/>
      <c r="M31" s="329">
        <f t="shared" si="0"/>
        <v>2100</v>
      </c>
      <c r="N31" s="37"/>
    </row>
    <row r="32" spans="1:17" x14ac:dyDescent="0.2">
      <c r="A32" s="2" t="s">
        <v>9</v>
      </c>
      <c r="B32" s="3" t="b">
        <v>1</v>
      </c>
      <c r="C32" s="3" t="b">
        <v>0</v>
      </c>
      <c r="D32" s="3" t="b">
        <v>1</v>
      </c>
      <c r="E32" s="3" t="b">
        <v>0</v>
      </c>
      <c r="F32" s="3" t="b">
        <v>0</v>
      </c>
      <c r="G32" s="11" t="s">
        <v>98</v>
      </c>
      <c r="H32" s="21">
        <f>+$B$11+$D$11+H13</f>
        <v>45000</v>
      </c>
      <c r="I32" s="227">
        <f>+$B$12+$D$12</f>
        <v>3696</v>
      </c>
      <c r="J32" s="227">
        <f t="shared" si="3"/>
        <v>16632</v>
      </c>
      <c r="K32" s="227">
        <f t="shared" si="4"/>
        <v>31416</v>
      </c>
      <c r="L32" s="322"/>
      <c r="M32" s="329">
        <f t="shared" si="0"/>
        <v>1800</v>
      </c>
      <c r="N32" s="37"/>
    </row>
    <row r="33" spans="1:15" x14ac:dyDescent="0.2">
      <c r="A33" s="2" t="s">
        <v>9</v>
      </c>
      <c r="B33" s="3" t="b">
        <v>0</v>
      </c>
      <c r="C33" s="3" t="b">
        <v>1</v>
      </c>
      <c r="D33" s="3" t="b">
        <v>0</v>
      </c>
      <c r="E33" s="3" t="b">
        <v>0</v>
      </c>
      <c r="F33" s="3" t="b">
        <v>0</v>
      </c>
      <c r="G33" s="11" t="s">
        <v>14</v>
      </c>
      <c r="H33" s="21">
        <f>+$C$11+H13</f>
        <v>17500</v>
      </c>
      <c r="I33" s="227">
        <f>+$C$12</f>
        <v>562</v>
      </c>
      <c r="J33" s="227">
        <f t="shared" si="3"/>
        <v>2529</v>
      </c>
      <c r="K33" s="227">
        <f t="shared" si="4"/>
        <v>4777</v>
      </c>
      <c r="L33" s="322"/>
      <c r="M33" s="329">
        <f t="shared" si="0"/>
        <v>700</v>
      </c>
      <c r="N33" s="217"/>
      <c r="O33" s="219"/>
    </row>
    <row r="34" spans="1:15" x14ac:dyDescent="0.2">
      <c r="A34" s="2" t="s">
        <v>9</v>
      </c>
      <c r="B34" s="3" t="b">
        <v>0</v>
      </c>
      <c r="C34" s="3" t="b">
        <v>1</v>
      </c>
      <c r="D34" s="3" t="b">
        <v>0</v>
      </c>
      <c r="E34" s="3" t="b">
        <v>1</v>
      </c>
      <c r="F34" s="3" t="b">
        <v>0</v>
      </c>
      <c r="G34" s="11" t="s">
        <v>17</v>
      </c>
      <c r="H34" s="21">
        <f>+$C$11+$E$11+H13</f>
        <v>30000</v>
      </c>
      <c r="I34" s="227">
        <f>+$C$12+$E$12</f>
        <v>2019</v>
      </c>
      <c r="J34" s="227">
        <f t="shared" si="3"/>
        <v>9085.5</v>
      </c>
      <c r="K34" s="227">
        <f t="shared" si="4"/>
        <v>17161.5</v>
      </c>
      <c r="L34" s="322"/>
      <c r="M34" s="329">
        <f t="shared" si="0"/>
        <v>1200</v>
      </c>
      <c r="N34" s="217"/>
    </row>
    <row r="35" spans="1:15" x14ac:dyDescent="0.2">
      <c r="A35" s="2" t="s">
        <v>9</v>
      </c>
      <c r="B35" s="3" t="b">
        <v>0</v>
      </c>
      <c r="C35" s="3" t="b">
        <v>0</v>
      </c>
      <c r="D35" s="3" t="b">
        <v>0</v>
      </c>
      <c r="E35" s="3" t="b">
        <v>1</v>
      </c>
      <c r="F35" s="3" t="b">
        <v>0</v>
      </c>
      <c r="G35" s="11" t="s">
        <v>16</v>
      </c>
      <c r="H35" s="21">
        <f>+$E$11+H13</f>
        <v>25000</v>
      </c>
      <c r="I35" s="227">
        <f>+$E$12</f>
        <v>1457</v>
      </c>
      <c r="J35" s="227">
        <f t="shared" si="3"/>
        <v>6556.5</v>
      </c>
      <c r="K35" s="227">
        <f t="shared" si="4"/>
        <v>12384.5</v>
      </c>
      <c r="L35" s="322"/>
      <c r="M35" s="329">
        <f t="shared" si="0"/>
        <v>1000</v>
      </c>
      <c r="N35" s="37"/>
    </row>
    <row r="36" spans="1:15" x14ac:dyDescent="0.2">
      <c r="A36" s="2" t="s">
        <v>9</v>
      </c>
      <c r="B36" s="3" t="b">
        <v>0</v>
      </c>
      <c r="C36" s="3" t="b">
        <v>0</v>
      </c>
      <c r="D36" s="3" t="b">
        <v>0</v>
      </c>
      <c r="E36" s="3" t="b">
        <v>0</v>
      </c>
      <c r="F36" s="3" t="b">
        <v>1</v>
      </c>
      <c r="G36" s="11" t="s">
        <v>1</v>
      </c>
      <c r="H36" s="21">
        <f>+$F$11+H13</f>
        <v>22500</v>
      </c>
      <c r="I36" s="227">
        <f>+$F$12</f>
        <v>800</v>
      </c>
      <c r="J36" s="227">
        <f t="shared" si="3"/>
        <v>3600</v>
      </c>
      <c r="K36" s="227">
        <f t="shared" si="4"/>
        <v>6800</v>
      </c>
      <c r="L36" s="322"/>
      <c r="M36" s="329">
        <f t="shared" si="0"/>
        <v>900</v>
      </c>
      <c r="N36" s="37"/>
    </row>
    <row r="37" spans="1:15" x14ac:dyDescent="0.2">
      <c r="A37" s="2" t="s">
        <v>9</v>
      </c>
      <c r="B37" s="3" t="b">
        <v>1</v>
      </c>
      <c r="C37" s="3" t="b">
        <v>0</v>
      </c>
      <c r="D37" s="3" t="b">
        <v>0</v>
      </c>
      <c r="E37" s="3" t="b">
        <v>0</v>
      </c>
      <c r="F37" s="3" t="b">
        <v>1</v>
      </c>
      <c r="G37" s="11" t="s">
        <v>18</v>
      </c>
      <c r="H37" s="21">
        <f>+$B$11+$F$11+H13</f>
        <v>45000</v>
      </c>
      <c r="I37" s="227">
        <f>+$B$12+$F$12</f>
        <v>3037</v>
      </c>
      <c r="J37" s="227">
        <f t="shared" si="3"/>
        <v>13666.5</v>
      </c>
      <c r="K37" s="227">
        <f t="shared" si="4"/>
        <v>25814.5</v>
      </c>
      <c r="L37" s="322"/>
      <c r="M37" s="329">
        <f t="shared" si="0"/>
        <v>1800</v>
      </c>
      <c r="N37" s="217"/>
    </row>
    <row r="38" spans="1:15" x14ac:dyDescent="0.2">
      <c r="A38" s="2" t="s">
        <v>9</v>
      </c>
      <c r="B38" s="3" t="b">
        <v>1</v>
      </c>
      <c r="C38" s="3" t="b">
        <v>1</v>
      </c>
      <c r="D38" s="3" t="b">
        <v>0</v>
      </c>
      <c r="E38" s="3" t="b">
        <v>0</v>
      </c>
      <c r="F38" s="3" t="b">
        <v>1</v>
      </c>
      <c r="G38" s="11" t="s">
        <v>19</v>
      </c>
      <c r="H38" s="21">
        <f>+$B$11+$C$11+$F$11+H13</f>
        <v>50000</v>
      </c>
      <c r="I38" s="227">
        <f>+$B$12+$C$12+$F$12</f>
        <v>3599</v>
      </c>
      <c r="J38" s="227">
        <f t="shared" si="3"/>
        <v>16195.5</v>
      </c>
      <c r="K38" s="227">
        <f t="shared" si="4"/>
        <v>30591.5</v>
      </c>
      <c r="L38" s="322"/>
      <c r="M38" s="329">
        <f t="shared" si="0"/>
        <v>2000</v>
      </c>
      <c r="N38" s="217"/>
    </row>
    <row r="39" spans="1:15" x14ac:dyDescent="0.2">
      <c r="A39" s="2" t="s">
        <v>9</v>
      </c>
      <c r="B39" s="3" t="b">
        <v>1</v>
      </c>
      <c r="C39" s="3" t="b">
        <v>0</v>
      </c>
      <c r="D39" s="3" t="b">
        <v>0</v>
      </c>
      <c r="E39" s="3" t="b">
        <v>1</v>
      </c>
      <c r="F39" s="3" t="b">
        <v>1</v>
      </c>
      <c r="G39" s="11" t="s">
        <v>20</v>
      </c>
      <c r="H39" s="21">
        <f>+$B$11+$E$11+$F$11+H13</f>
        <v>57500</v>
      </c>
      <c r="I39" s="227">
        <f>+$B$12+$E$12+$F$12</f>
        <v>4494</v>
      </c>
      <c r="J39" s="227">
        <f t="shared" si="3"/>
        <v>20223</v>
      </c>
      <c r="K39" s="227">
        <f t="shared" si="4"/>
        <v>38199</v>
      </c>
      <c r="L39" s="322"/>
      <c r="M39" s="329">
        <f t="shared" si="0"/>
        <v>2300</v>
      </c>
      <c r="N39" s="217"/>
    </row>
    <row r="40" spans="1:15" x14ac:dyDescent="0.2">
      <c r="A40" s="2" t="s">
        <v>9</v>
      </c>
      <c r="B40" s="3" t="b">
        <v>0</v>
      </c>
      <c r="C40" s="3" t="b">
        <v>1</v>
      </c>
      <c r="D40" s="3" t="b">
        <v>0</v>
      </c>
      <c r="E40" s="3" t="b">
        <v>0</v>
      </c>
      <c r="F40" s="3" t="b">
        <v>1</v>
      </c>
      <c r="G40" s="11" t="s">
        <v>21</v>
      </c>
      <c r="H40" s="21">
        <f>+$C$11+$F$11+H13</f>
        <v>27500</v>
      </c>
      <c r="I40" s="227">
        <f>+$C$12+$F$12</f>
        <v>1362</v>
      </c>
      <c r="J40" s="227">
        <f t="shared" si="3"/>
        <v>6129</v>
      </c>
      <c r="K40" s="227">
        <f t="shared" si="4"/>
        <v>11577</v>
      </c>
      <c r="L40" s="322"/>
      <c r="M40" s="329">
        <f t="shared" si="0"/>
        <v>1100</v>
      </c>
      <c r="N40" s="217"/>
    </row>
    <row r="41" spans="1:15" x14ac:dyDescent="0.2">
      <c r="A41" s="2" t="s">
        <v>9</v>
      </c>
      <c r="B41" s="3" t="b">
        <v>0</v>
      </c>
      <c r="C41" s="3" t="b">
        <v>1</v>
      </c>
      <c r="D41" s="3" t="b">
        <v>0</v>
      </c>
      <c r="E41" s="3" t="b">
        <v>1</v>
      </c>
      <c r="F41" s="3" t="b">
        <v>1</v>
      </c>
      <c r="G41" s="11" t="s">
        <v>22</v>
      </c>
      <c r="H41" s="21">
        <f>+$C$11+$E$11+$F$11+H13</f>
        <v>40000</v>
      </c>
      <c r="I41" s="227">
        <f>+$C$12+$E$12+$F$12</f>
        <v>2819</v>
      </c>
      <c r="J41" s="227">
        <f t="shared" si="3"/>
        <v>12685.5</v>
      </c>
      <c r="K41" s="227">
        <f t="shared" si="4"/>
        <v>23961.5</v>
      </c>
      <c r="L41" s="322"/>
      <c r="M41" s="329">
        <f t="shared" si="0"/>
        <v>1600</v>
      </c>
      <c r="N41" s="217"/>
    </row>
    <row r="42" spans="1:15" x14ac:dyDescent="0.2">
      <c r="A42" s="2" t="s">
        <v>9</v>
      </c>
      <c r="B42" s="3" t="b">
        <v>0</v>
      </c>
      <c r="C42" s="3" t="b">
        <v>0</v>
      </c>
      <c r="D42" s="3" t="b">
        <v>0</v>
      </c>
      <c r="E42" s="3" t="b">
        <v>1</v>
      </c>
      <c r="F42" s="3" t="b">
        <v>1</v>
      </c>
      <c r="G42" s="11" t="s">
        <v>23</v>
      </c>
      <c r="H42" s="21">
        <f>+$E$11+$F$11+H13</f>
        <v>35000</v>
      </c>
      <c r="I42" s="227">
        <f>+$E$12+$F$12</f>
        <v>2257</v>
      </c>
      <c r="J42" s="227">
        <f t="shared" si="3"/>
        <v>10156.5</v>
      </c>
      <c r="K42" s="227">
        <f t="shared" si="4"/>
        <v>19184.5</v>
      </c>
      <c r="L42" s="322"/>
      <c r="M42" s="329">
        <f t="shared" si="0"/>
        <v>1400</v>
      </c>
      <c r="N42" s="217"/>
    </row>
    <row r="43" spans="1:15" ht="22" x14ac:dyDescent="0.3">
      <c r="A43" s="36" t="s">
        <v>131</v>
      </c>
    </row>
    <row r="44" spans="1:15" ht="22" x14ac:dyDescent="0.3">
      <c r="A44" s="36" t="s">
        <v>135</v>
      </c>
      <c r="H44" s="35"/>
      <c r="I44" s="35"/>
    </row>
    <row r="45" spans="1:15" ht="22" x14ac:dyDescent="0.3">
      <c r="A45" s="36" t="s">
        <v>130</v>
      </c>
      <c r="I45" s="35"/>
    </row>
  </sheetData>
  <mergeCells count="1">
    <mergeCell ref="A3:A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EE02-8496-480E-9F56-1A6BCD5F463C}">
  <sheetPr>
    <tabColor rgb="FF92D050"/>
  </sheetPr>
  <dimension ref="A1:T46"/>
  <sheetViews>
    <sheetView topLeftCell="A9" workbookViewId="0">
      <selection activeCell="H20" sqref="H20"/>
    </sheetView>
  </sheetViews>
  <sheetFormatPr baseColWidth="10" defaultColWidth="8.83203125" defaultRowHeight="15" x14ac:dyDescent="0.2"/>
  <cols>
    <col min="1" max="1" width="15.6640625" customWidth="1"/>
    <col min="2" max="6" width="10.1640625" customWidth="1"/>
    <col min="7" max="7" width="15.5" bestFit="1" customWidth="1"/>
    <col min="8" max="8" width="12.83203125" customWidth="1"/>
    <col min="9" max="10" width="15.83203125" bestFit="1" customWidth="1"/>
    <col min="11" max="11" width="16.83203125" bestFit="1" customWidth="1"/>
    <col min="12" max="12" width="56.1640625" bestFit="1" customWidth="1"/>
    <col min="13" max="13" width="10.1640625" style="324" bestFit="1" customWidth="1"/>
    <col min="14" max="14" width="10.6640625" bestFit="1" customWidth="1"/>
  </cols>
  <sheetData>
    <row r="1" spans="1:20" x14ac:dyDescent="0.2">
      <c r="A1" s="6" t="s">
        <v>61</v>
      </c>
    </row>
    <row r="3" spans="1:20" ht="14.5" customHeight="1" x14ac:dyDescent="0.2">
      <c r="A3" s="337" t="s">
        <v>37</v>
      </c>
      <c r="B3" s="5" t="s">
        <v>2</v>
      </c>
      <c r="C3" s="5" t="s">
        <v>3</v>
      </c>
      <c r="D3" s="5" t="s">
        <v>34</v>
      </c>
      <c r="E3" s="5" t="s">
        <v>35</v>
      </c>
      <c r="F3" s="5" t="s">
        <v>6</v>
      </c>
      <c r="G3" s="2"/>
      <c r="J3" s="2" t="s">
        <v>29</v>
      </c>
      <c r="K3" s="2" t="s">
        <v>57</v>
      </c>
      <c r="T3" s="40"/>
    </row>
    <row r="4" spans="1:20" x14ac:dyDescent="0.2">
      <c r="A4" s="337"/>
      <c r="B4" s="23">
        <f>+'COLLECTION PRICE'!C28</f>
        <v>7000</v>
      </c>
      <c r="C4" s="23">
        <f>+'COLLECTION PRICE'!D28</f>
        <v>8000</v>
      </c>
      <c r="D4" s="23">
        <f>+'COLLECTION PRICE'!E28</f>
        <v>9000</v>
      </c>
      <c r="E4" s="23">
        <f>+'COLLECTION PRICE'!F28</f>
        <v>10500</v>
      </c>
      <c r="F4" s="23">
        <f>+'COLLECTION PRICE'!G28</f>
        <v>12500</v>
      </c>
      <c r="G4" s="5" t="s">
        <v>51</v>
      </c>
      <c r="J4" s="2" t="s">
        <v>14</v>
      </c>
      <c r="K4" s="2" t="s">
        <v>58</v>
      </c>
      <c r="T4" s="40"/>
    </row>
    <row r="5" spans="1:20" x14ac:dyDescent="0.2">
      <c r="A5" s="337"/>
      <c r="B5" s="23">
        <f>+'STORAGE PRICE'!C53</f>
        <v>390</v>
      </c>
      <c r="C5" s="23">
        <f>+'STORAGE PRICE'!D53</f>
        <v>530</v>
      </c>
      <c r="D5" s="23">
        <f>+'STORAGE PRICE'!E53</f>
        <v>530</v>
      </c>
      <c r="E5" s="23">
        <f>+'STORAGE PRICE'!F53</f>
        <v>670</v>
      </c>
      <c r="F5" s="23">
        <f>+'STORAGE PRICE'!G53</f>
        <v>1130</v>
      </c>
      <c r="G5" s="5" t="s">
        <v>52</v>
      </c>
      <c r="J5" s="2" t="s">
        <v>15</v>
      </c>
      <c r="K5" s="2" t="s">
        <v>59</v>
      </c>
    </row>
    <row r="6" spans="1:20" x14ac:dyDescent="0.2">
      <c r="A6" s="337"/>
      <c r="B6" s="23">
        <f>+'STORAGE PRICE'!C54</f>
        <v>3315</v>
      </c>
      <c r="C6" s="23">
        <f>+'STORAGE PRICE'!D54</f>
        <v>4505</v>
      </c>
      <c r="D6" s="23">
        <f>+'STORAGE PRICE'!E54</f>
        <v>4505</v>
      </c>
      <c r="E6" s="23">
        <f>+'STORAGE PRICE'!F54</f>
        <v>5695</v>
      </c>
      <c r="F6" s="23">
        <f>+'STORAGE PRICE'!G54</f>
        <v>9605</v>
      </c>
      <c r="G6" s="5" t="s">
        <v>54</v>
      </c>
      <c r="J6" s="2" t="s">
        <v>16</v>
      </c>
      <c r="K6" s="2" t="s">
        <v>59</v>
      </c>
    </row>
    <row r="7" spans="1:20" x14ac:dyDescent="0.2">
      <c r="A7" s="337"/>
      <c r="B7" s="23">
        <f>+'STORAGE PRICE'!C55</f>
        <v>5850</v>
      </c>
      <c r="C7" s="23">
        <f>+'STORAGE PRICE'!D55</f>
        <v>7950</v>
      </c>
      <c r="D7" s="23">
        <f>+'STORAGE PRICE'!E55</f>
        <v>7950</v>
      </c>
      <c r="E7" s="23">
        <f>+'STORAGE PRICE'!F55</f>
        <v>10050</v>
      </c>
      <c r="F7" s="23">
        <f>+'STORAGE PRICE'!G55</f>
        <v>16950</v>
      </c>
      <c r="G7" s="5" t="s">
        <v>55</v>
      </c>
      <c r="J7" s="2" t="s">
        <v>1</v>
      </c>
      <c r="K7" s="2" t="s">
        <v>60</v>
      </c>
    </row>
    <row r="9" spans="1:20" x14ac:dyDescent="0.2">
      <c r="A9" s="6" t="s">
        <v>25</v>
      </c>
    </row>
    <row r="10" spans="1:20" ht="14.5" customHeight="1" x14ac:dyDescent="0.2">
      <c r="A10" s="24" t="s">
        <v>12</v>
      </c>
      <c r="B10" s="25" t="s">
        <v>29</v>
      </c>
      <c r="C10" s="25" t="s">
        <v>14</v>
      </c>
      <c r="D10" s="25" t="s">
        <v>15</v>
      </c>
      <c r="E10" s="25" t="s">
        <v>16</v>
      </c>
      <c r="F10" s="25" t="s">
        <v>1</v>
      </c>
      <c r="G10" s="20"/>
      <c r="H10" s="20" t="s">
        <v>27</v>
      </c>
      <c r="I10" s="20"/>
      <c r="J10" s="20"/>
      <c r="K10" s="20"/>
    </row>
    <row r="11" spans="1:20" x14ac:dyDescent="0.2">
      <c r="A11" s="24" t="s">
        <v>32</v>
      </c>
      <c r="B11" s="226">
        <f>+B4-H13</f>
        <v>4500</v>
      </c>
      <c r="C11" s="226">
        <f>+C4-B4</f>
        <v>1000</v>
      </c>
      <c r="D11" s="226">
        <f>+D4-B4</f>
        <v>2000</v>
      </c>
      <c r="E11" s="226">
        <f>+E4-C4</f>
        <v>2500</v>
      </c>
      <c r="F11" s="226">
        <f>+F4-E4</f>
        <v>2000</v>
      </c>
      <c r="G11" s="20" t="s">
        <v>12</v>
      </c>
      <c r="H11" s="20" t="s">
        <v>10</v>
      </c>
      <c r="I11" s="20"/>
      <c r="J11" s="20" t="s">
        <v>43</v>
      </c>
      <c r="K11" s="20" t="s">
        <v>44</v>
      </c>
      <c r="M11" s="325" t="s">
        <v>51</v>
      </c>
    </row>
    <row r="12" spans="1:20" ht="16" thickBot="1" x14ac:dyDescent="0.25">
      <c r="A12" s="29" t="s">
        <v>33</v>
      </c>
      <c r="B12" s="229">
        <f>+B5</f>
        <v>390</v>
      </c>
      <c r="C12" s="229">
        <f>+C5-B5</f>
        <v>140</v>
      </c>
      <c r="D12" s="229">
        <f>+D5-B12</f>
        <v>140</v>
      </c>
      <c r="E12" s="229">
        <f>+E5-C5</f>
        <v>140</v>
      </c>
      <c r="F12" s="229">
        <f>+F5-E5</f>
        <v>460</v>
      </c>
      <c r="G12" s="30" t="s">
        <v>13</v>
      </c>
      <c r="H12" s="30" t="s">
        <v>30</v>
      </c>
      <c r="I12" s="30" t="s">
        <v>31</v>
      </c>
      <c r="J12" s="30" t="s">
        <v>38</v>
      </c>
      <c r="K12" s="30" t="s">
        <v>39</v>
      </c>
      <c r="M12" s="326" t="s">
        <v>136</v>
      </c>
    </row>
    <row r="13" spans="1:20" ht="16" thickTop="1" x14ac:dyDescent="0.2">
      <c r="A13" s="31" t="s">
        <v>127</v>
      </c>
      <c r="B13" s="32" t="b">
        <v>0</v>
      </c>
      <c r="C13" s="32" t="b">
        <v>0</v>
      </c>
      <c r="D13" s="32" t="b">
        <v>0</v>
      </c>
      <c r="E13" s="32" t="b">
        <v>0</v>
      </c>
      <c r="F13" s="32" t="b">
        <v>0</v>
      </c>
      <c r="G13" s="33" t="s">
        <v>126</v>
      </c>
      <c r="H13" s="34">
        <v>2500</v>
      </c>
      <c r="I13" s="33"/>
      <c r="J13" s="33"/>
      <c r="K13" s="33"/>
      <c r="L13" s="323" t="s">
        <v>139</v>
      </c>
      <c r="M13" s="327">
        <f>+H13/5</f>
        <v>500</v>
      </c>
    </row>
    <row r="14" spans="1:20" x14ac:dyDescent="0.2">
      <c r="A14" s="18" t="s">
        <v>2</v>
      </c>
      <c r="B14" s="19" t="b">
        <v>1</v>
      </c>
      <c r="C14" s="19" t="b">
        <v>0</v>
      </c>
      <c r="D14" s="19" t="b">
        <v>0</v>
      </c>
      <c r="E14" s="19" t="b">
        <v>0</v>
      </c>
      <c r="F14" s="19" t="b">
        <v>0</v>
      </c>
      <c r="G14" s="18" t="s">
        <v>2</v>
      </c>
      <c r="H14" s="22">
        <f>+B4</f>
        <v>7000</v>
      </c>
      <c r="I14" s="22">
        <f>+B5</f>
        <v>390</v>
      </c>
      <c r="J14" s="22">
        <f>+B6</f>
        <v>3315</v>
      </c>
      <c r="K14" s="22">
        <f>+B7</f>
        <v>5850</v>
      </c>
      <c r="M14" s="328">
        <f t="shared" ref="M14:M42" si="0">+H14/5</f>
        <v>1400</v>
      </c>
      <c r="P14" s="26"/>
    </row>
    <row r="15" spans="1:20" x14ac:dyDescent="0.2">
      <c r="A15" s="18" t="s">
        <v>3</v>
      </c>
      <c r="B15" s="19" t="b">
        <v>1</v>
      </c>
      <c r="C15" s="19" t="b">
        <v>1</v>
      </c>
      <c r="D15" s="19" t="b">
        <v>0</v>
      </c>
      <c r="E15" s="19" t="b">
        <v>0</v>
      </c>
      <c r="F15" s="19" t="b">
        <v>0</v>
      </c>
      <c r="G15" s="18" t="s">
        <v>3</v>
      </c>
      <c r="H15" s="22">
        <f>+C4</f>
        <v>8000</v>
      </c>
      <c r="I15" s="22">
        <f>+C5</f>
        <v>530</v>
      </c>
      <c r="J15" s="22">
        <f>+C6</f>
        <v>4505</v>
      </c>
      <c r="K15" s="22">
        <f>+C7</f>
        <v>7950</v>
      </c>
      <c r="M15" s="328">
        <f t="shared" si="0"/>
        <v>1600</v>
      </c>
    </row>
    <row r="16" spans="1:20" x14ac:dyDescent="0.2">
      <c r="A16" s="2" t="s">
        <v>3</v>
      </c>
      <c r="B16" s="3" t="b">
        <v>1</v>
      </c>
      <c r="C16" s="3" t="b">
        <v>0</v>
      </c>
      <c r="D16" s="3" t="b">
        <v>0</v>
      </c>
      <c r="E16" s="3" t="b">
        <v>0</v>
      </c>
      <c r="F16" s="3" t="b">
        <v>0</v>
      </c>
      <c r="G16" s="11" t="s">
        <v>96</v>
      </c>
      <c r="H16" s="21">
        <f>+$B$11+H13</f>
        <v>7000</v>
      </c>
      <c r="I16" s="227">
        <f>+$B$12</f>
        <v>390</v>
      </c>
      <c r="J16" s="227">
        <f>+I16*10*(100%-15%)</f>
        <v>3315</v>
      </c>
      <c r="K16" s="227">
        <f>+I16*20*(100%-25%)</f>
        <v>5850</v>
      </c>
      <c r="M16" s="329">
        <f t="shared" si="0"/>
        <v>1400</v>
      </c>
    </row>
    <row r="17" spans="1:16" x14ac:dyDescent="0.2">
      <c r="A17" s="2" t="s">
        <v>3</v>
      </c>
      <c r="B17" s="3" t="b">
        <v>0</v>
      </c>
      <c r="C17" s="3" t="b">
        <v>1</v>
      </c>
      <c r="D17" s="3" t="b">
        <v>0</v>
      </c>
      <c r="E17" s="3" t="b">
        <v>0</v>
      </c>
      <c r="F17" s="3" t="b">
        <v>0</v>
      </c>
      <c r="G17" s="11" t="s">
        <v>14</v>
      </c>
      <c r="H17" s="21">
        <f>+$C$11+H13</f>
        <v>3500</v>
      </c>
      <c r="I17" s="227">
        <f>+$C$12</f>
        <v>140</v>
      </c>
      <c r="J17" s="227">
        <f>+I17*10*(100%-15%)</f>
        <v>1190</v>
      </c>
      <c r="K17" s="227">
        <f>+I17*20*(100%-25%)</f>
        <v>2100</v>
      </c>
      <c r="L17" s="216"/>
      <c r="M17" s="329">
        <f t="shared" si="0"/>
        <v>700</v>
      </c>
      <c r="N17" s="219"/>
    </row>
    <row r="18" spans="1:16" x14ac:dyDescent="0.2">
      <c r="A18" s="18" t="s">
        <v>7</v>
      </c>
      <c r="B18" s="19" t="b">
        <v>1</v>
      </c>
      <c r="C18" s="19" t="b">
        <v>0</v>
      </c>
      <c r="D18" s="19" t="b">
        <v>1</v>
      </c>
      <c r="E18" s="19" t="b">
        <v>0</v>
      </c>
      <c r="F18" s="19" t="b">
        <v>0</v>
      </c>
      <c r="G18" s="18" t="s">
        <v>7</v>
      </c>
      <c r="H18" s="22">
        <f>+D4</f>
        <v>9000</v>
      </c>
      <c r="I18" s="22">
        <f>+D5</f>
        <v>530</v>
      </c>
      <c r="J18" s="22">
        <f>+D6</f>
        <v>4505</v>
      </c>
      <c r="K18" s="22">
        <f>+D7</f>
        <v>7950</v>
      </c>
      <c r="M18" s="328">
        <f t="shared" si="0"/>
        <v>1800</v>
      </c>
    </row>
    <row r="19" spans="1:16" x14ac:dyDescent="0.2">
      <c r="A19" s="2" t="s">
        <v>7</v>
      </c>
      <c r="B19" s="3" t="b">
        <v>1</v>
      </c>
      <c r="C19" s="3" t="b">
        <v>0</v>
      </c>
      <c r="D19" s="3" t="b">
        <v>0</v>
      </c>
      <c r="E19" s="3" t="b">
        <v>0</v>
      </c>
      <c r="F19" s="3" t="b">
        <v>0</v>
      </c>
      <c r="G19" s="11" t="s">
        <v>96</v>
      </c>
      <c r="H19" s="21">
        <f>+$B$11+H13</f>
        <v>7000</v>
      </c>
      <c r="I19" s="227">
        <f>+$B$12</f>
        <v>390</v>
      </c>
      <c r="J19" s="227">
        <f>+I19*10*(100%-15%)</f>
        <v>3315</v>
      </c>
      <c r="K19" s="227">
        <f>+I19*20*(100%-25%)</f>
        <v>5850</v>
      </c>
      <c r="M19" s="329">
        <f t="shared" si="0"/>
        <v>1400</v>
      </c>
    </row>
    <row r="20" spans="1:16" x14ac:dyDescent="0.2">
      <c r="A20" s="2" t="s">
        <v>7</v>
      </c>
      <c r="B20" s="3" t="b">
        <v>0</v>
      </c>
      <c r="C20" s="3" t="b">
        <v>0</v>
      </c>
      <c r="D20" s="3" t="b">
        <v>1</v>
      </c>
      <c r="E20" s="3" t="b">
        <v>0</v>
      </c>
      <c r="F20" s="3" t="b">
        <v>0</v>
      </c>
      <c r="G20" s="11" t="s">
        <v>15</v>
      </c>
      <c r="H20" s="317">
        <f>+$D$11+H13</f>
        <v>4500</v>
      </c>
      <c r="I20" s="227">
        <f>+$D$12</f>
        <v>140</v>
      </c>
      <c r="J20" s="227">
        <f>+I20*10*(100%-15%)</f>
        <v>1190</v>
      </c>
      <c r="K20" s="227">
        <f>+I20*20*(100%-25%)</f>
        <v>2100</v>
      </c>
      <c r="L20" s="323" t="s">
        <v>134</v>
      </c>
      <c r="M20" s="329">
        <f t="shared" si="0"/>
        <v>900</v>
      </c>
      <c r="P20" s="38"/>
    </row>
    <row r="21" spans="1:16" x14ac:dyDescent="0.2">
      <c r="A21" s="18" t="s">
        <v>8</v>
      </c>
      <c r="B21" s="19" t="b">
        <v>1</v>
      </c>
      <c r="C21" s="19" t="b">
        <v>1</v>
      </c>
      <c r="D21" s="19" t="b">
        <v>0</v>
      </c>
      <c r="E21" s="19" t="b">
        <v>1</v>
      </c>
      <c r="F21" s="19" t="b">
        <v>0</v>
      </c>
      <c r="G21" s="18" t="s">
        <v>8</v>
      </c>
      <c r="H21" s="22">
        <f>+E4</f>
        <v>10500</v>
      </c>
      <c r="I21" s="27">
        <f>+E5</f>
        <v>670</v>
      </c>
      <c r="J21" s="27">
        <f>+E6</f>
        <v>5695</v>
      </c>
      <c r="K21" s="27">
        <f>+E7</f>
        <v>10050</v>
      </c>
      <c r="M21" s="328">
        <f t="shared" si="0"/>
        <v>2100</v>
      </c>
    </row>
    <row r="22" spans="1:16" x14ac:dyDescent="0.2">
      <c r="A22" s="2" t="s">
        <v>8</v>
      </c>
      <c r="B22" s="3" t="b">
        <v>1</v>
      </c>
      <c r="C22" s="3" t="b">
        <v>0</v>
      </c>
      <c r="D22" s="3" t="b">
        <v>0</v>
      </c>
      <c r="E22" s="3" t="b">
        <v>0</v>
      </c>
      <c r="F22" s="3" t="b">
        <v>0</v>
      </c>
      <c r="G22" s="11" t="s">
        <v>96</v>
      </c>
      <c r="H22" s="21">
        <f>+$B$11+H13</f>
        <v>7000</v>
      </c>
      <c r="I22" s="227">
        <f>+$B$12</f>
        <v>390</v>
      </c>
      <c r="J22" s="227">
        <f t="shared" ref="J22:J27" si="1">+I22*10*(100%-15%)</f>
        <v>3315</v>
      </c>
      <c r="K22" s="227">
        <f t="shared" ref="K22:K27" si="2">+I22*20*(100%-25%)</f>
        <v>5850</v>
      </c>
      <c r="M22" s="329">
        <f t="shared" si="0"/>
        <v>1400</v>
      </c>
    </row>
    <row r="23" spans="1:16" x14ac:dyDescent="0.2">
      <c r="A23" s="2" t="s">
        <v>8</v>
      </c>
      <c r="B23" s="3" t="b">
        <v>1</v>
      </c>
      <c r="C23" s="3" t="b">
        <v>1</v>
      </c>
      <c r="D23" s="3" t="b">
        <v>0</v>
      </c>
      <c r="E23" s="3" t="b">
        <v>0</v>
      </c>
      <c r="F23" s="3" t="b">
        <v>0</v>
      </c>
      <c r="G23" s="11" t="s">
        <v>97</v>
      </c>
      <c r="H23" s="21">
        <f>+$B$11+$C$11+H13</f>
        <v>8000</v>
      </c>
      <c r="I23" s="227">
        <f>+$B$12+$C$12</f>
        <v>530</v>
      </c>
      <c r="J23" s="227">
        <f t="shared" si="1"/>
        <v>4505</v>
      </c>
      <c r="K23" s="227">
        <f t="shared" si="2"/>
        <v>7950</v>
      </c>
      <c r="M23" s="329">
        <f t="shared" si="0"/>
        <v>1600</v>
      </c>
    </row>
    <row r="24" spans="1:16" x14ac:dyDescent="0.2">
      <c r="A24" s="2" t="s">
        <v>8</v>
      </c>
      <c r="B24" s="3" t="b">
        <v>1</v>
      </c>
      <c r="C24" s="3" t="b">
        <v>0</v>
      </c>
      <c r="D24" s="3" t="b">
        <v>1</v>
      </c>
      <c r="E24" s="3" t="b">
        <v>0</v>
      </c>
      <c r="F24" s="3" t="b">
        <v>0</v>
      </c>
      <c r="G24" s="11" t="s">
        <v>98</v>
      </c>
      <c r="H24" s="21">
        <f>+$B$11+$D$11+H13</f>
        <v>9000</v>
      </c>
      <c r="I24" s="227">
        <f>+$B$12+$D$12</f>
        <v>530</v>
      </c>
      <c r="J24" s="227">
        <f t="shared" si="1"/>
        <v>4505</v>
      </c>
      <c r="K24" s="227">
        <f t="shared" si="2"/>
        <v>7950</v>
      </c>
      <c r="M24" s="329">
        <f t="shared" si="0"/>
        <v>1800</v>
      </c>
    </row>
    <row r="25" spans="1:16" x14ac:dyDescent="0.2">
      <c r="A25" s="2" t="s">
        <v>8</v>
      </c>
      <c r="B25" s="3" t="b">
        <v>0</v>
      </c>
      <c r="C25" s="3" t="b">
        <v>1</v>
      </c>
      <c r="D25" s="3" t="b">
        <v>0</v>
      </c>
      <c r="E25" s="3" t="b">
        <v>0</v>
      </c>
      <c r="F25" s="3" t="b">
        <v>0</v>
      </c>
      <c r="G25" s="11" t="s">
        <v>14</v>
      </c>
      <c r="H25" s="21">
        <f>+$C$11+H13</f>
        <v>3500</v>
      </c>
      <c r="I25" s="227">
        <f>+$C$12</f>
        <v>140</v>
      </c>
      <c r="J25" s="227">
        <f t="shared" si="1"/>
        <v>1190</v>
      </c>
      <c r="K25" s="227">
        <f t="shared" si="2"/>
        <v>2100</v>
      </c>
      <c r="L25" s="216"/>
      <c r="M25" s="329">
        <f t="shared" si="0"/>
        <v>700</v>
      </c>
      <c r="N25" s="219"/>
    </row>
    <row r="26" spans="1:16" x14ac:dyDescent="0.2">
      <c r="A26" s="2" t="s">
        <v>8</v>
      </c>
      <c r="B26" s="3" t="b">
        <v>0</v>
      </c>
      <c r="C26" s="3" t="b">
        <v>1</v>
      </c>
      <c r="D26" s="3" t="b">
        <v>0</v>
      </c>
      <c r="E26" s="3" t="b">
        <v>1</v>
      </c>
      <c r="F26" s="3" t="b">
        <v>0</v>
      </c>
      <c r="G26" s="11" t="s">
        <v>17</v>
      </c>
      <c r="H26" s="21">
        <f>+$C$11+$E$11+H13</f>
        <v>6000</v>
      </c>
      <c r="I26" s="227">
        <f>+$C$12+$E$12</f>
        <v>280</v>
      </c>
      <c r="J26" s="227">
        <f t="shared" si="1"/>
        <v>2380</v>
      </c>
      <c r="K26" s="227">
        <f t="shared" si="2"/>
        <v>4200</v>
      </c>
      <c r="L26" s="216"/>
      <c r="M26" s="329">
        <f t="shared" si="0"/>
        <v>1200</v>
      </c>
    </row>
    <row r="27" spans="1:16" x14ac:dyDescent="0.2">
      <c r="A27" s="2" t="s">
        <v>8</v>
      </c>
      <c r="B27" s="3" t="b">
        <v>0</v>
      </c>
      <c r="C27" s="3" t="b">
        <v>0</v>
      </c>
      <c r="D27" s="3" t="b">
        <v>0</v>
      </c>
      <c r="E27" s="3" t="b">
        <v>1</v>
      </c>
      <c r="F27" s="3" t="b">
        <v>0</v>
      </c>
      <c r="G27" s="11" t="s">
        <v>16</v>
      </c>
      <c r="H27" s="317">
        <f>+$E$11+H13</f>
        <v>5000</v>
      </c>
      <c r="I27" s="227">
        <f>+$E$12</f>
        <v>140</v>
      </c>
      <c r="J27" s="227">
        <f t="shared" si="1"/>
        <v>1190</v>
      </c>
      <c r="K27" s="227">
        <f t="shared" si="2"/>
        <v>2100</v>
      </c>
      <c r="L27" s="323" t="s">
        <v>134</v>
      </c>
      <c r="M27" s="329">
        <f t="shared" si="0"/>
        <v>1000</v>
      </c>
    </row>
    <row r="28" spans="1:16" x14ac:dyDescent="0.2">
      <c r="A28" s="18" t="s">
        <v>9</v>
      </c>
      <c r="B28" s="19" t="b">
        <v>1</v>
      </c>
      <c r="C28" s="19" t="b">
        <v>1</v>
      </c>
      <c r="D28" s="19" t="b">
        <v>0</v>
      </c>
      <c r="E28" s="19" t="b">
        <v>1</v>
      </c>
      <c r="F28" s="19" t="b">
        <v>1</v>
      </c>
      <c r="G28" s="18" t="s">
        <v>6</v>
      </c>
      <c r="H28" s="22">
        <f>+F4</f>
        <v>12500</v>
      </c>
      <c r="I28" s="27">
        <f>+F5</f>
        <v>1130</v>
      </c>
      <c r="J28" s="27">
        <f>+F6</f>
        <v>9605</v>
      </c>
      <c r="K28" s="27">
        <f>+F7</f>
        <v>16950</v>
      </c>
      <c r="M28" s="328">
        <f t="shared" si="0"/>
        <v>2500</v>
      </c>
      <c r="P28" s="37"/>
    </row>
    <row r="29" spans="1:16" x14ac:dyDescent="0.2">
      <c r="A29" s="2" t="s">
        <v>9</v>
      </c>
      <c r="B29" s="3" t="b">
        <v>1</v>
      </c>
      <c r="C29" s="3" t="b">
        <v>0</v>
      </c>
      <c r="D29" s="3" t="b">
        <v>0</v>
      </c>
      <c r="E29" s="3" t="b">
        <v>0</v>
      </c>
      <c r="F29" s="3" t="b">
        <v>0</v>
      </c>
      <c r="G29" s="11" t="s">
        <v>96</v>
      </c>
      <c r="H29" s="21">
        <f>+$B$11+H13</f>
        <v>7000</v>
      </c>
      <c r="I29" s="227">
        <f>+$B$12</f>
        <v>390</v>
      </c>
      <c r="J29" s="227">
        <f t="shared" ref="J29:J42" si="3">+I29*10*(100%-15%)</f>
        <v>3315</v>
      </c>
      <c r="K29" s="227">
        <f t="shared" ref="K29:K42" si="4">+I29*20*(100%-25%)</f>
        <v>5850</v>
      </c>
      <c r="M29" s="329">
        <f t="shared" si="0"/>
        <v>1400</v>
      </c>
    </row>
    <row r="30" spans="1:16" x14ac:dyDescent="0.2">
      <c r="A30" s="2" t="s">
        <v>9</v>
      </c>
      <c r="B30" s="3" t="b">
        <v>1</v>
      </c>
      <c r="C30" s="3" t="b">
        <v>1</v>
      </c>
      <c r="D30" s="3" t="b">
        <v>0</v>
      </c>
      <c r="E30" s="3" t="b">
        <v>0</v>
      </c>
      <c r="F30" s="3" t="b">
        <v>0</v>
      </c>
      <c r="G30" s="11" t="s">
        <v>97</v>
      </c>
      <c r="H30" s="21">
        <f>+$B$11+$C$11+H13</f>
        <v>8000</v>
      </c>
      <c r="I30" s="227">
        <f>+$B$12+$C$12</f>
        <v>530</v>
      </c>
      <c r="J30" s="227">
        <f t="shared" si="3"/>
        <v>4505</v>
      </c>
      <c r="K30" s="227">
        <f t="shared" si="4"/>
        <v>7950</v>
      </c>
      <c r="M30" s="329">
        <f t="shared" si="0"/>
        <v>1600</v>
      </c>
    </row>
    <row r="31" spans="1:16" x14ac:dyDescent="0.2">
      <c r="A31" s="2" t="s">
        <v>9</v>
      </c>
      <c r="B31" s="3" t="b">
        <v>1</v>
      </c>
      <c r="C31" s="3" t="b">
        <v>1</v>
      </c>
      <c r="D31" s="3" t="b">
        <v>0</v>
      </c>
      <c r="E31" s="3" t="b">
        <v>1</v>
      </c>
      <c r="F31" s="3" t="b">
        <v>0</v>
      </c>
      <c r="G31" s="11" t="s">
        <v>99</v>
      </c>
      <c r="H31" s="21">
        <f>+$B$11+$C$11+$E$11+H13</f>
        <v>10500</v>
      </c>
      <c r="I31" s="227">
        <f>+$B$12+$C$12+$E$12</f>
        <v>670</v>
      </c>
      <c r="J31" s="227">
        <f t="shared" si="3"/>
        <v>5695</v>
      </c>
      <c r="K31" s="227">
        <f t="shared" si="4"/>
        <v>10050</v>
      </c>
      <c r="M31" s="329">
        <f t="shared" si="0"/>
        <v>2100</v>
      </c>
    </row>
    <row r="32" spans="1:16" x14ac:dyDescent="0.2">
      <c r="A32" s="2" t="s">
        <v>9</v>
      </c>
      <c r="B32" s="3" t="b">
        <v>1</v>
      </c>
      <c r="C32" s="3" t="b">
        <v>0</v>
      </c>
      <c r="D32" s="3" t="b">
        <v>1</v>
      </c>
      <c r="E32" s="3" t="b">
        <v>0</v>
      </c>
      <c r="F32" s="3" t="b">
        <v>0</v>
      </c>
      <c r="G32" s="11" t="s">
        <v>98</v>
      </c>
      <c r="H32" s="21">
        <f>+$B$11+$D$11+H13</f>
        <v>9000</v>
      </c>
      <c r="I32" s="227">
        <f>+$B$12+$D$12</f>
        <v>530</v>
      </c>
      <c r="J32" s="227">
        <f t="shared" si="3"/>
        <v>4505</v>
      </c>
      <c r="K32" s="227">
        <f t="shared" si="4"/>
        <v>7950</v>
      </c>
      <c r="M32" s="329">
        <f t="shared" si="0"/>
        <v>1800</v>
      </c>
    </row>
    <row r="33" spans="1:14" x14ac:dyDescent="0.2">
      <c r="A33" s="2" t="s">
        <v>9</v>
      </c>
      <c r="B33" s="3" t="b">
        <v>0</v>
      </c>
      <c r="C33" s="3" t="b">
        <v>1</v>
      </c>
      <c r="D33" s="3" t="b">
        <v>0</v>
      </c>
      <c r="E33" s="3" t="b">
        <v>0</v>
      </c>
      <c r="F33" s="3" t="b">
        <v>0</v>
      </c>
      <c r="G33" s="11" t="s">
        <v>14</v>
      </c>
      <c r="H33" s="21">
        <f>+$C$11+H13</f>
        <v>3500</v>
      </c>
      <c r="I33" s="227">
        <f>+$C$12</f>
        <v>140</v>
      </c>
      <c r="J33" s="227">
        <f t="shared" si="3"/>
        <v>1190</v>
      </c>
      <c r="K33" s="227">
        <f t="shared" si="4"/>
        <v>2100</v>
      </c>
      <c r="L33" s="216"/>
      <c r="M33" s="329">
        <f t="shared" si="0"/>
        <v>700</v>
      </c>
      <c r="N33" s="219"/>
    </row>
    <row r="34" spans="1:14" x14ac:dyDescent="0.2">
      <c r="A34" s="2" t="s">
        <v>9</v>
      </c>
      <c r="B34" s="3" t="b">
        <v>0</v>
      </c>
      <c r="C34" s="3" t="b">
        <v>1</v>
      </c>
      <c r="D34" s="3" t="b">
        <v>0</v>
      </c>
      <c r="E34" s="3" t="b">
        <v>1</v>
      </c>
      <c r="F34" s="3" t="b">
        <v>0</v>
      </c>
      <c r="G34" s="11" t="s">
        <v>17</v>
      </c>
      <c r="H34" s="21">
        <f>+$C$11+$E$11+H13</f>
        <v>6000</v>
      </c>
      <c r="I34" s="227">
        <f>+$C$12+$E$12</f>
        <v>280</v>
      </c>
      <c r="J34" s="227">
        <f t="shared" si="3"/>
        <v>2380</v>
      </c>
      <c r="K34" s="227">
        <f t="shared" si="4"/>
        <v>4200</v>
      </c>
      <c r="L34" s="216"/>
      <c r="M34" s="329">
        <f t="shared" si="0"/>
        <v>1200</v>
      </c>
    </row>
    <row r="35" spans="1:14" x14ac:dyDescent="0.2">
      <c r="A35" s="2" t="s">
        <v>9</v>
      </c>
      <c r="B35" s="3" t="b">
        <v>0</v>
      </c>
      <c r="C35" s="3" t="b">
        <v>0</v>
      </c>
      <c r="D35" s="3" t="b">
        <v>0</v>
      </c>
      <c r="E35" s="3" t="b">
        <v>1</v>
      </c>
      <c r="F35" s="3" t="b">
        <v>0</v>
      </c>
      <c r="G35" s="11" t="s">
        <v>16</v>
      </c>
      <c r="H35" s="317">
        <f>+$E$11+H13</f>
        <v>5000</v>
      </c>
      <c r="I35" s="227">
        <f>+$E$12</f>
        <v>140</v>
      </c>
      <c r="J35" s="227">
        <f t="shared" si="3"/>
        <v>1190</v>
      </c>
      <c r="K35" s="227">
        <f t="shared" si="4"/>
        <v>2100</v>
      </c>
      <c r="L35" s="323" t="s">
        <v>134</v>
      </c>
      <c r="M35" s="329">
        <f t="shared" si="0"/>
        <v>1000</v>
      </c>
    </row>
    <row r="36" spans="1:14" x14ac:dyDescent="0.2">
      <c r="A36" s="2" t="s">
        <v>9</v>
      </c>
      <c r="B36" s="3" t="b">
        <v>0</v>
      </c>
      <c r="C36" s="3" t="b">
        <v>0</v>
      </c>
      <c r="D36" s="3" t="b">
        <v>0</v>
      </c>
      <c r="E36" s="3" t="b">
        <v>0</v>
      </c>
      <c r="F36" s="3" t="b">
        <v>1</v>
      </c>
      <c r="G36" s="11" t="s">
        <v>1</v>
      </c>
      <c r="H36" s="317">
        <f>+$F$11+H13</f>
        <v>4500</v>
      </c>
      <c r="I36" s="227">
        <f>+$F$12</f>
        <v>460</v>
      </c>
      <c r="J36" s="227">
        <f t="shared" si="3"/>
        <v>3910</v>
      </c>
      <c r="K36" s="227">
        <f t="shared" si="4"/>
        <v>6900</v>
      </c>
      <c r="L36" s="323" t="s">
        <v>133</v>
      </c>
      <c r="M36" s="329">
        <f t="shared" si="0"/>
        <v>900</v>
      </c>
    </row>
    <row r="37" spans="1:14" x14ac:dyDescent="0.2">
      <c r="A37" s="2" t="s">
        <v>9</v>
      </c>
      <c r="B37" s="3" t="b">
        <v>1</v>
      </c>
      <c r="C37" s="3" t="b">
        <v>0</v>
      </c>
      <c r="D37" s="3" t="b">
        <v>0</v>
      </c>
      <c r="E37" s="3" t="b">
        <v>0</v>
      </c>
      <c r="F37" s="3" t="b">
        <v>1</v>
      </c>
      <c r="G37" s="11" t="s">
        <v>18</v>
      </c>
      <c r="H37" s="21">
        <f>+$B$11+$F$11+H13</f>
        <v>9000</v>
      </c>
      <c r="I37" s="227">
        <f>+$B$12+$F$12</f>
        <v>850</v>
      </c>
      <c r="J37" s="227">
        <f t="shared" si="3"/>
        <v>7225</v>
      </c>
      <c r="K37" s="227">
        <f t="shared" si="4"/>
        <v>12750</v>
      </c>
      <c r="L37" s="216"/>
      <c r="M37" s="329">
        <f t="shared" si="0"/>
        <v>1800</v>
      </c>
    </row>
    <row r="38" spans="1:14" x14ac:dyDescent="0.2">
      <c r="A38" s="2" t="s">
        <v>9</v>
      </c>
      <c r="B38" s="3" t="b">
        <v>1</v>
      </c>
      <c r="C38" s="3" t="b">
        <v>1</v>
      </c>
      <c r="D38" s="3" t="b">
        <v>0</v>
      </c>
      <c r="E38" s="3" t="b">
        <v>0</v>
      </c>
      <c r="F38" s="3" t="b">
        <v>1</v>
      </c>
      <c r="G38" s="11" t="s">
        <v>19</v>
      </c>
      <c r="H38" s="21">
        <f>+$B$11+$C$11+$F$11+H13</f>
        <v>10000</v>
      </c>
      <c r="I38" s="227">
        <f>+$B$12+$C$12+$F$12</f>
        <v>990</v>
      </c>
      <c r="J38" s="227">
        <f t="shared" si="3"/>
        <v>8415</v>
      </c>
      <c r="K38" s="227">
        <f t="shared" si="4"/>
        <v>14850</v>
      </c>
      <c r="L38" s="216"/>
      <c r="M38" s="329">
        <f t="shared" si="0"/>
        <v>2000</v>
      </c>
    </row>
    <row r="39" spans="1:14" x14ac:dyDescent="0.2">
      <c r="A39" s="2" t="s">
        <v>9</v>
      </c>
      <c r="B39" s="3" t="b">
        <v>1</v>
      </c>
      <c r="C39" s="3" t="b">
        <v>0</v>
      </c>
      <c r="D39" s="3" t="b">
        <v>0</v>
      </c>
      <c r="E39" s="3" t="b">
        <v>1</v>
      </c>
      <c r="F39" s="3" t="b">
        <v>1</v>
      </c>
      <c r="G39" s="11" t="s">
        <v>20</v>
      </c>
      <c r="H39" s="21">
        <f>+$B$11+$E$11+$F$11+H13</f>
        <v>11500</v>
      </c>
      <c r="I39" s="227">
        <f>+$B$12+$E$12+$F$12</f>
        <v>990</v>
      </c>
      <c r="J39" s="227">
        <f t="shared" si="3"/>
        <v>8415</v>
      </c>
      <c r="K39" s="227">
        <f t="shared" si="4"/>
        <v>14850</v>
      </c>
      <c r="L39" s="216"/>
      <c r="M39" s="329">
        <f t="shared" si="0"/>
        <v>2300</v>
      </c>
    </row>
    <row r="40" spans="1:14" x14ac:dyDescent="0.2">
      <c r="A40" s="2" t="s">
        <v>9</v>
      </c>
      <c r="B40" s="3" t="b">
        <v>0</v>
      </c>
      <c r="C40" s="3" t="b">
        <v>1</v>
      </c>
      <c r="D40" s="3" t="b">
        <v>0</v>
      </c>
      <c r="E40" s="3" t="b">
        <v>0</v>
      </c>
      <c r="F40" s="3" t="b">
        <v>1</v>
      </c>
      <c r="G40" s="11" t="s">
        <v>21</v>
      </c>
      <c r="H40" s="21">
        <f>+$C$11+$F$11+H13</f>
        <v>5500</v>
      </c>
      <c r="I40" s="227">
        <f>+$C$12+$F$12</f>
        <v>600</v>
      </c>
      <c r="J40" s="227">
        <f t="shared" si="3"/>
        <v>5100</v>
      </c>
      <c r="K40" s="227">
        <f t="shared" si="4"/>
        <v>9000</v>
      </c>
      <c r="L40" s="216"/>
      <c r="M40" s="329">
        <f t="shared" si="0"/>
        <v>1100</v>
      </c>
    </row>
    <row r="41" spans="1:14" x14ac:dyDescent="0.2">
      <c r="A41" s="2" t="s">
        <v>9</v>
      </c>
      <c r="B41" s="3" t="b">
        <v>0</v>
      </c>
      <c r="C41" s="3" t="b">
        <v>1</v>
      </c>
      <c r="D41" s="3" t="b">
        <v>0</v>
      </c>
      <c r="E41" s="3" t="b">
        <v>1</v>
      </c>
      <c r="F41" s="3" t="b">
        <v>1</v>
      </c>
      <c r="G41" s="11" t="s">
        <v>22</v>
      </c>
      <c r="H41" s="21">
        <f>+$C$11+$E$11+$F$11+H13</f>
        <v>8000</v>
      </c>
      <c r="I41" s="227">
        <f>+$C$12+$E$12+$F$12</f>
        <v>740</v>
      </c>
      <c r="J41" s="227">
        <f t="shared" si="3"/>
        <v>6290</v>
      </c>
      <c r="K41" s="227">
        <f t="shared" si="4"/>
        <v>11100</v>
      </c>
      <c r="L41" s="216"/>
      <c r="M41" s="329">
        <f t="shared" si="0"/>
        <v>1600</v>
      </c>
    </row>
    <row r="42" spans="1:14" x14ac:dyDescent="0.2">
      <c r="A42" s="2" t="s">
        <v>9</v>
      </c>
      <c r="B42" s="3" t="b">
        <v>0</v>
      </c>
      <c r="C42" s="3" t="b">
        <v>0</v>
      </c>
      <c r="D42" s="3" t="b">
        <v>0</v>
      </c>
      <c r="E42" s="3" t="b">
        <v>1</v>
      </c>
      <c r="F42" s="3" t="b">
        <v>1</v>
      </c>
      <c r="G42" s="11" t="s">
        <v>23</v>
      </c>
      <c r="H42" s="21">
        <f>+$E$11+$F$11+H13</f>
        <v>7000</v>
      </c>
      <c r="I42" s="227">
        <f>+$E$12+$F$12</f>
        <v>600</v>
      </c>
      <c r="J42" s="227">
        <f t="shared" si="3"/>
        <v>5100</v>
      </c>
      <c r="K42" s="227">
        <f t="shared" si="4"/>
        <v>9000</v>
      </c>
      <c r="L42" s="216"/>
      <c r="M42" s="329">
        <f t="shared" si="0"/>
        <v>1400</v>
      </c>
    </row>
    <row r="43" spans="1:14" ht="22" x14ac:dyDescent="0.3">
      <c r="A43" s="36" t="s">
        <v>138</v>
      </c>
    </row>
    <row r="44" spans="1:14" ht="22" x14ac:dyDescent="0.3">
      <c r="A44" s="36" t="s">
        <v>135</v>
      </c>
      <c r="H44" s="37"/>
    </row>
    <row r="45" spans="1:14" ht="22" x14ac:dyDescent="0.3">
      <c r="A45" s="36" t="s">
        <v>130</v>
      </c>
    </row>
    <row r="46" spans="1:14" x14ac:dyDescent="0.2">
      <c r="I46" s="37"/>
    </row>
  </sheetData>
  <mergeCells count="1">
    <mergeCell ref="A3:A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2627-C1E4-464D-B5BA-A6FCB1CC5441}">
  <sheetPr>
    <tabColor rgb="FF92D050"/>
  </sheetPr>
  <dimension ref="A1:R45"/>
  <sheetViews>
    <sheetView workbookViewId="0">
      <selection activeCell="O25" sqref="O25"/>
    </sheetView>
  </sheetViews>
  <sheetFormatPr baseColWidth="10" defaultColWidth="8.83203125" defaultRowHeight="15" x14ac:dyDescent="0.2"/>
  <cols>
    <col min="1" max="1" width="15.6640625" customWidth="1"/>
    <col min="2" max="6" width="10.1640625" customWidth="1"/>
    <col min="7" max="7" width="15.5" bestFit="1" customWidth="1"/>
    <col min="8" max="8" width="12.83203125" customWidth="1"/>
    <col min="9" max="10" width="15.83203125" bestFit="1" customWidth="1"/>
    <col min="11" max="11" width="16.83203125" bestFit="1" customWidth="1"/>
    <col min="12" max="12" width="12.83203125" customWidth="1"/>
    <col min="13" max="13" width="10.1640625" style="324" bestFit="1" customWidth="1"/>
    <col min="14" max="14" width="16.1640625" customWidth="1"/>
    <col min="15" max="15" width="10.6640625" bestFit="1" customWidth="1"/>
  </cols>
  <sheetData>
    <row r="1" spans="1:16" x14ac:dyDescent="0.2">
      <c r="A1" s="6" t="s">
        <v>56</v>
      </c>
    </row>
    <row r="3" spans="1:16" ht="14.5" customHeight="1" x14ac:dyDescent="0.2">
      <c r="A3" s="337" t="s">
        <v>37</v>
      </c>
      <c r="B3" s="5" t="s">
        <v>2</v>
      </c>
      <c r="C3" s="5" t="s">
        <v>3</v>
      </c>
      <c r="D3" s="5" t="s">
        <v>34</v>
      </c>
      <c r="E3" s="5" t="s">
        <v>35</v>
      </c>
      <c r="F3" s="42" t="s">
        <v>6</v>
      </c>
      <c r="J3" s="2" t="s">
        <v>29</v>
      </c>
      <c r="K3" s="2" t="s">
        <v>57</v>
      </c>
    </row>
    <row r="4" spans="1:16" x14ac:dyDescent="0.2">
      <c r="A4" s="337"/>
      <c r="B4" s="23">
        <f>+'COLLECTION PRICE'!C31</f>
        <v>560000</v>
      </c>
      <c r="C4" s="23">
        <f>+'COLLECTION PRICE'!D31</f>
        <v>640000</v>
      </c>
      <c r="D4" s="23">
        <f>+'COLLECTION PRICE'!E31</f>
        <v>720000</v>
      </c>
      <c r="E4" s="23">
        <f>+'COLLECTION PRICE'!F31</f>
        <v>840000</v>
      </c>
      <c r="F4" s="43"/>
      <c r="G4" s="6" t="s">
        <v>51</v>
      </c>
      <c r="J4" s="2" t="s">
        <v>14</v>
      </c>
      <c r="K4" s="2" t="s">
        <v>58</v>
      </c>
    </row>
    <row r="5" spans="1:16" x14ac:dyDescent="0.2">
      <c r="A5" s="337"/>
      <c r="B5" s="23">
        <f>+'STORAGE PRICE'!C56</f>
        <v>32120</v>
      </c>
      <c r="C5" s="23">
        <f>+'STORAGE PRICE'!D56</f>
        <v>41490</v>
      </c>
      <c r="D5" s="23">
        <f>+'STORAGE PRICE'!E56</f>
        <v>40140</v>
      </c>
      <c r="E5" s="23">
        <f>+'STORAGE PRICE'!F56</f>
        <v>49510</v>
      </c>
      <c r="F5" s="43"/>
      <c r="G5" s="6" t="s">
        <v>52</v>
      </c>
      <c r="J5" s="2" t="s">
        <v>15</v>
      </c>
      <c r="K5" s="2" t="s">
        <v>59</v>
      </c>
    </row>
    <row r="6" spans="1:16" x14ac:dyDescent="0.2">
      <c r="A6" s="337"/>
      <c r="B6" s="23">
        <f>+'STORAGE PRICE'!C57</f>
        <v>192720</v>
      </c>
      <c r="C6" s="23">
        <f>+'STORAGE PRICE'!D57</f>
        <v>248940</v>
      </c>
      <c r="D6" s="23">
        <f>+'STORAGE PRICE'!E57</f>
        <v>240840</v>
      </c>
      <c r="E6" s="23">
        <f>+'STORAGE PRICE'!F57</f>
        <v>297060</v>
      </c>
      <c r="F6" s="43"/>
      <c r="G6" s="6" t="s">
        <v>54</v>
      </c>
      <c r="J6" s="2" t="s">
        <v>16</v>
      </c>
      <c r="K6" s="2" t="s">
        <v>59</v>
      </c>
    </row>
    <row r="7" spans="1:16" x14ac:dyDescent="0.2">
      <c r="A7" s="337"/>
      <c r="B7" s="23">
        <f>+'STORAGE PRICE'!C58</f>
        <v>321200</v>
      </c>
      <c r="C7" s="23">
        <f>+'STORAGE PRICE'!D58</f>
        <v>414900</v>
      </c>
      <c r="D7" s="23">
        <f>+'STORAGE PRICE'!E58</f>
        <v>401400</v>
      </c>
      <c r="E7" s="23">
        <f>+'STORAGE PRICE'!F58</f>
        <v>495100</v>
      </c>
      <c r="F7" s="43"/>
      <c r="G7" s="6" t="s">
        <v>55</v>
      </c>
      <c r="J7" s="2" t="s">
        <v>1</v>
      </c>
      <c r="K7" s="2" t="s">
        <v>60</v>
      </c>
    </row>
    <row r="9" spans="1:16" x14ac:dyDescent="0.2">
      <c r="A9" s="6" t="s">
        <v>25</v>
      </c>
    </row>
    <row r="10" spans="1:16" ht="14.5" customHeight="1" x14ac:dyDescent="0.2">
      <c r="A10" s="24" t="s">
        <v>12</v>
      </c>
      <c r="B10" s="25" t="s">
        <v>29</v>
      </c>
      <c r="C10" s="25" t="s">
        <v>14</v>
      </c>
      <c r="D10" s="25" t="s">
        <v>15</v>
      </c>
      <c r="E10" s="25" t="s">
        <v>16</v>
      </c>
      <c r="F10" s="25" t="s">
        <v>1</v>
      </c>
      <c r="G10" s="20"/>
      <c r="H10" s="20" t="s">
        <v>27</v>
      </c>
      <c r="I10" s="20"/>
      <c r="J10" s="20"/>
      <c r="K10" s="20"/>
      <c r="L10" s="39" t="s">
        <v>62</v>
      </c>
    </row>
    <row r="11" spans="1:16" x14ac:dyDescent="0.2">
      <c r="A11" s="24" t="s">
        <v>32</v>
      </c>
      <c r="B11" s="226">
        <f>+B4-H13</f>
        <v>360000</v>
      </c>
      <c r="C11" s="226">
        <f>+C4-B4</f>
        <v>80000</v>
      </c>
      <c r="D11" s="226">
        <f>+D4-B4</f>
        <v>160000</v>
      </c>
      <c r="E11" s="226">
        <f>+E4-C4</f>
        <v>200000</v>
      </c>
      <c r="F11" s="226"/>
      <c r="G11" s="20" t="s">
        <v>12</v>
      </c>
      <c r="H11" s="20" t="s">
        <v>10</v>
      </c>
      <c r="I11" s="20"/>
      <c r="J11" s="41" t="s">
        <v>63</v>
      </c>
      <c r="K11" s="41" t="s">
        <v>64</v>
      </c>
      <c r="L11" s="39" t="s">
        <v>65</v>
      </c>
      <c r="M11" s="325" t="s">
        <v>51</v>
      </c>
    </row>
    <row r="12" spans="1:16" ht="16" thickBot="1" x14ac:dyDescent="0.25">
      <c r="A12" s="29" t="s">
        <v>33</v>
      </c>
      <c r="B12" s="230">
        <f>+B5</f>
        <v>32120</v>
      </c>
      <c r="C12" s="230">
        <f>+C5-B5</f>
        <v>9370</v>
      </c>
      <c r="D12" s="230">
        <f>+D5-B12</f>
        <v>8020</v>
      </c>
      <c r="E12" s="230">
        <f>+E5-C5</f>
        <v>8020</v>
      </c>
      <c r="F12" s="230"/>
      <c r="G12" s="30" t="s">
        <v>13</v>
      </c>
      <c r="H12" s="30" t="s">
        <v>30</v>
      </c>
      <c r="I12" s="30" t="s">
        <v>31</v>
      </c>
      <c r="J12" s="30" t="s">
        <v>38</v>
      </c>
      <c r="K12" s="30" t="s">
        <v>39</v>
      </c>
      <c r="L12" s="39" t="s">
        <v>66</v>
      </c>
      <c r="M12" s="326" t="s">
        <v>136</v>
      </c>
    </row>
    <row r="13" spans="1:16" ht="16" thickTop="1" x14ac:dyDescent="0.2">
      <c r="A13" s="31" t="s">
        <v>127</v>
      </c>
      <c r="B13" s="32" t="b">
        <v>0</v>
      </c>
      <c r="C13" s="32" t="b">
        <v>0</v>
      </c>
      <c r="D13" s="32" t="b">
        <v>0</v>
      </c>
      <c r="E13" s="32" t="b">
        <v>0</v>
      </c>
      <c r="F13" s="32" t="b">
        <v>0</v>
      </c>
      <c r="G13" s="33" t="s">
        <v>126</v>
      </c>
      <c r="H13" s="34">
        <v>200000</v>
      </c>
      <c r="I13" s="33"/>
      <c r="J13" s="33"/>
      <c r="K13" s="33"/>
      <c r="M13" s="327">
        <f>+H13/400</f>
        <v>500</v>
      </c>
    </row>
    <row r="14" spans="1:16" x14ac:dyDescent="0.2">
      <c r="A14" s="18" t="s">
        <v>2</v>
      </c>
      <c r="B14" s="19" t="b">
        <v>1</v>
      </c>
      <c r="C14" s="19" t="b">
        <v>0</v>
      </c>
      <c r="D14" s="19" t="b">
        <v>0</v>
      </c>
      <c r="E14" s="19" t="b">
        <v>0</v>
      </c>
      <c r="F14" s="19" t="b">
        <v>0</v>
      </c>
      <c r="G14" s="18" t="s">
        <v>2</v>
      </c>
      <c r="H14" s="22">
        <f>+B4</f>
        <v>560000</v>
      </c>
      <c r="I14" s="22">
        <f>+B5</f>
        <v>32120</v>
      </c>
      <c r="J14" s="22">
        <f>+B6</f>
        <v>192720</v>
      </c>
      <c r="K14" s="22">
        <f>+B7</f>
        <v>321200</v>
      </c>
      <c r="M14" s="328">
        <f t="shared" ref="M14:M42" si="0">+H14/400</f>
        <v>1400</v>
      </c>
      <c r="P14" s="26"/>
    </row>
    <row r="15" spans="1:16" x14ac:dyDescent="0.2">
      <c r="A15" s="18" t="s">
        <v>3</v>
      </c>
      <c r="B15" s="19" t="b">
        <v>1</v>
      </c>
      <c r="C15" s="19" t="b">
        <v>1</v>
      </c>
      <c r="D15" s="19" t="b">
        <v>0</v>
      </c>
      <c r="E15" s="19" t="b">
        <v>0</v>
      </c>
      <c r="F15" s="19" t="b">
        <v>0</v>
      </c>
      <c r="G15" s="18" t="s">
        <v>3</v>
      </c>
      <c r="H15" s="22">
        <f>+C4</f>
        <v>640000</v>
      </c>
      <c r="I15" s="22">
        <f>+C5</f>
        <v>41490</v>
      </c>
      <c r="J15" s="22">
        <f>+C6</f>
        <v>248940</v>
      </c>
      <c r="K15" s="22">
        <f>+C7</f>
        <v>414900</v>
      </c>
      <c r="M15" s="328">
        <f t="shared" si="0"/>
        <v>1600</v>
      </c>
    </row>
    <row r="16" spans="1:16" x14ac:dyDescent="0.2">
      <c r="A16" s="2" t="s">
        <v>3</v>
      </c>
      <c r="B16" s="3" t="b">
        <v>1</v>
      </c>
      <c r="C16" s="3" t="b">
        <v>0</v>
      </c>
      <c r="D16" s="3" t="b">
        <v>0</v>
      </c>
      <c r="E16" s="3" t="b">
        <v>0</v>
      </c>
      <c r="F16" s="3" t="b">
        <v>0</v>
      </c>
      <c r="G16" s="11" t="s">
        <v>96</v>
      </c>
      <c r="H16" s="21">
        <f>+$B$11+H13</f>
        <v>560000</v>
      </c>
      <c r="I16" s="227">
        <f>+$B$12</f>
        <v>32120</v>
      </c>
      <c r="J16" s="227">
        <f>+I16*10*(100%-40%)</f>
        <v>192720</v>
      </c>
      <c r="K16" s="227">
        <f>+I16*20*(100%-50%)</f>
        <v>321200</v>
      </c>
      <c r="M16" s="329">
        <f t="shared" si="0"/>
        <v>1400</v>
      </c>
    </row>
    <row r="17" spans="1:18" x14ac:dyDescent="0.2">
      <c r="A17" s="2" t="s">
        <v>3</v>
      </c>
      <c r="B17" s="3" t="b">
        <v>0</v>
      </c>
      <c r="C17" s="3" t="b">
        <v>1</v>
      </c>
      <c r="D17" s="3" t="b">
        <v>0</v>
      </c>
      <c r="E17" s="3" t="b">
        <v>0</v>
      </c>
      <c r="F17" s="3" t="b">
        <v>0</v>
      </c>
      <c r="G17" s="11" t="s">
        <v>14</v>
      </c>
      <c r="H17" s="21">
        <f>+$C$11+H13</f>
        <v>280000</v>
      </c>
      <c r="I17" s="227">
        <f>+$C$12</f>
        <v>9370</v>
      </c>
      <c r="J17" s="227">
        <f>+I17*10*(100%-40%)</f>
        <v>56220</v>
      </c>
      <c r="K17" s="227">
        <f>+I17*20*(100%-50%)</f>
        <v>93700</v>
      </c>
      <c r="L17" s="216"/>
      <c r="M17" s="329">
        <f t="shared" si="0"/>
        <v>700</v>
      </c>
      <c r="N17" s="219"/>
    </row>
    <row r="18" spans="1:18" x14ac:dyDescent="0.2">
      <c r="A18" s="18" t="s">
        <v>7</v>
      </c>
      <c r="B18" s="19" t="b">
        <v>1</v>
      </c>
      <c r="C18" s="19" t="b">
        <v>0</v>
      </c>
      <c r="D18" s="19" t="b">
        <v>0</v>
      </c>
      <c r="E18" s="19" t="b">
        <v>0</v>
      </c>
      <c r="F18" s="19" t="b">
        <v>0</v>
      </c>
      <c r="G18" s="18" t="s">
        <v>7</v>
      </c>
      <c r="H18" s="22">
        <f>+D4</f>
        <v>720000</v>
      </c>
      <c r="I18" s="22">
        <f>+D5</f>
        <v>40140</v>
      </c>
      <c r="J18" s="22">
        <f>+D6</f>
        <v>240840</v>
      </c>
      <c r="K18" s="22">
        <f>+D7</f>
        <v>401400</v>
      </c>
      <c r="M18" s="328">
        <f t="shared" si="0"/>
        <v>1800</v>
      </c>
    </row>
    <row r="19" spans="1:18" x14ac:dyDescent="0.2">
      <c r="A19" s="2" t="s">
        <v>7</v>
      </c>
      <c r="B19" s="3" t="b">
        <v>1</v>
      </c>
      <c r="C19" s="3" t="b">
        <v>0</v>
      </c>
      <c r="D19" s="3" t="b">
        <v>0</v>
      </c>
      <c r="E19" s="3" t="b">
        <v>0</v>
      </c>
      <c r="F19" s="3" t="b">
        <v>0</v>
      </c>
      <c r="G19" s="11" t="s">
        <v>96</v>
      </c>
      <c r="H19" s="21">
        <f>+$B$11+H13</f>
        <v>560000</v>
      </c>
      <c r="I19" s="227">
        <f>+$B$12</f>
        <v>32120</v>
      </c>
      <c r="J19" s="227">
        <f>+I19*10*(100%-40%)</f>
        <v>192720</v>
      </c>
      <c r="K19" s="227">
        <f>+I19*20*(100%-50%)</f>
        <v>321200</v>
      </c>
      <c r="M19" s="329">
        <f t="shared" si="0"/>
        <v>1400</v>
      </c>
    </row>
    <row r="20" spans="1:18" x14ac:dyDescent="0.2">
      <c r="A20" s="2" t="s">
        <v>7</v>
      </c>
      <c r="B20" s="3" t="b">
        <v>0</v>
      </c>
      <c r="C20" s="3" t="b">
        <v>0</v>
      </c>
      <c r="D20" s="3" t="b">
        <v>1</v>
      </c>
      <c r="E20" s="3" t="b">
        <v>0</v>
      </c>
      <c r="F20" s="3" t="b">
        <v>0</v>
      </c>
      <c r="G20" s="11" t="s">
        <v>15</v>
      </c>
      <c r="H20" s="21">
        <f>+$D$11+H13</f>
        <v>360000</v>
      </c>
      <c r="I20" s="227">
        <f>+$D$12</f>
        <v>8020</v>
      </c>
      <c r="J20" s="227">
        <f>+I20*10*(100%-40%)</f>
        <v>48120</v>
      </c>
      <c r="K20" s="227">
        <f>+I20*20*(100%-50%)</f>
        <v>80200</v>
      </c>
      <c r="M20" s="329">
        <f t="shared" si="0"/>
        <v>900</v>
      </c>
      <c r="P20" s="38"/>
    </row>
    <row r="21" spans="1:18" x14ac:dyDescent="0.2">
      <c r="A21" s="18" t="s">
        <v>8</v>
      </c>
      <c r="B21" s="19" t="b">
        <v>1</v>
      </c>
      <c r="C21" s="19" t="b">
        <v>1</v>
      </c>
      <c r="D21" s="19" t="b">
        <v>1</v>
      </c>
      <c r="E21" s="19" t="b">
        <v>0</v>
      </c>
      <c r="F21" s="19" t="b">
        <v>0</v>
      </c>
      <c r="G21" s="18" t="s">
        <v>8</v>
      </c>
      <c r="H21" s="22">
        <f>+E4</f>
        <v>840000</v>
      </c>
      <c r="I21" s="22">
        <f>+E5</f>
        <v>49510</v>
      </c>
      <c r="J21" s="22">
        <f>+E6</f>
        <v>297060</v>
      </c>
      <c r="K21" s="22">
        <f>+E7</f>
        <v>495100</v>
      </c>
      <c r="M21" s="328">
        <f t="shared" si="0"/>
        <v>2100</v>
      </c>
    </row>
    <row r="22" spans="1:18" x14ac:dyDescent="0.2">
      <c r="A22" s="2" t="s">
        <v>8</v>
      </c>
      <c r="B22" s="3" t="b">
        <v>1</v>
      </c>
      <c r="C22" s="3" t="b">
        <v>0</v>
      </c>
      <c r="D22" s="3" t="b">
        <v>0</v>
      </c>
      <c r="E22" s="3" t="b">
        <v>0</v>
      </c>
      <c r="F22" s="3" t="b">
        <v>0</v>
      </c>
      <c r="G22" s="11" t="s">
        <v>96</v>
      </c>
      <c r="H22" s="21">
        <f>+$B$11+H13</f>
        <v>560000</v>
      </c>
      <c r="I22" s="227">
        <f>+$B$12</f>
        <v>32120</v>
      </c>
      <c r="J22" s="227">
        <f t="shared" ref="J22:J27" si="1">+I22*10*(100%-40%)</f>
        <v>192720</v>
      </c>
      <c r="K22" s="227">
        <f t="shared" ref="K22:K27" si="2">+I22*20*(100%-50%)</f>
        <v>321200</v>
      </c>
      <c r="M22" s="329">
        <f t="shared" si="0"/>
        <v>1400</v>
      </c>
    </row>
    <row r="23" spans="1:18" x14ac:dyDescent="0.2">
      <c r="A23" s="2" t="s">
        <v>8</v>
      </c>
      <c r="B23" s="3" t="b">
        <v>1</v>
      </c>
      <c r="C23" s="3" t="b">
        <v>1</v>
      </c>
      <c r="D23" s="3" t="b">
        <v>0</v>
      </c>
      <c r="E23" s="3" t="b">
        <v>1</v>
      </c>
      <c r="F23" s="3" t="b">
        <v>0</v>
      </c>
      <c r="G23" s="11" t="s">
        <v>97</v>
      </c>
      <c r="H23" s="21">
        <f>+$B$11+$C$11+H13</f>
        <v>640000</v>
      </c>
      <c r="I23" s="227">
        <f>+$B$12+$C$12</f>
        <v>41490</v>
      </c>
      <c r="J23" s="227">
        <f t="shared" si="1"/>
        <v>248940</v>
      </c>
      <c r="K23" s="227">
        <f t="shared" si="2"/>
        <v>414900</v>
      </c>
      <c r="M23" s="329">
        <f t="shared" si="0"/>
        <v>1600</v>
      </c>
    </row>
    <row r="24" spans="1:18" x14ac:dyDescent="0.2">
      <c r="A24" s="2" t="s">
        <v>8</v>
      </c>
      <c r="B24" s="3" t="b">
        <v>1</v>
      </c>
      <c r="C24" s="3" t="b">
        <v>0</v>
      </c>
      <c r="D24" s="3" t="b">
        <v>1</v>
      </c>
      <c r="E24" s="3" t="b">
        <v>0</v>
      </c>
      <c r="F24" s="3" t="b">
        <v>0</v>
      </c>
      <c r="G24" s="11" t="s">
        <v>98</v>
      </c>
      <c r="H24" s="21">
        <f>+$B$11+$D$11+H13</f>
        <v>720000</v>
      </c>
      <c r="I24" s="227">
        <f>+$B$12+$D$12</f>
        <v>40140</v>
      </c>
      <c r="J24" s="227">
        <f t="shared" si="1"/>
        <v>240840</v>
      </c>
      <c r="K24" s="227">
        <f t="shared" si="2"/>
        <v>401400</v>
      </c>
      <c r="M24" s="329">
        <f t="shared" si="0"/>
        <v>1800</v>
      </c>
    </row>
    <row r="25" spans="1:18" x14ac:dyDescent="0.2">
      <c r="A25" s="2" t="s">
        <v>8</v>
      </c>
      <c r="B25" s="3" t="b">
        <v>0</v>
      </c>
      <c r="C25" s="3" t="b">
        <v>1</v>
      </c>
      <c r="D25" s="3" t="b">
        <v>0</v>
      </c>
      <c r="E25" s="3" t="b">
        <v>0</v>
      </c>
      <c r="F25" s="3" t="b">
        <v>0</v>
      </c>
      <c r="G25" s="11" t="s">
        <v>14</v>
      </c>
      <c r="H25" s="21">
        <f>+$C$11+H13</f>
        <v>280000</v>
      </c>
      <c r="I25" s="227">
        <f>+$C$12</f>
        <v>9370</v>
      </c>
      <c r="J25" s="227">
        <f t="shared" si="1"/>
        <v>56220</v>
      </c>
      <c r="K25" s="227">
        <f t="shared" si="2"/>
        <v>93700</v>
      </c>
      <c r="L25" s="216"/>
      <c r="M25" s="329">
        <f t="shared" si="0"/>
        <v>700</v>
      </c>
      <c r="N25" s="219"/>
    </row>
    <row r="26" spans="1:18" x14ac:dyDescent="0.2">
      <c r="A26" s="2" t="s">
        <v>8</v>
      </c>
      <c r="B26" s="3" t="b">
        <v>0</v>
      </c>
      <c r="C26" s="3" t="b">
        <v>1</v>
      </c>
      <c r="D26" s="3" t="b">
        <v>0</v>
      </c>
      <c r="E26" s="3" t="b">
        <v>1</v>
      </c>
      <c r="F26" s="3" t="b">
        <v>0</v>
      </c>
      <c r="G26" s="11" t="s">
        <v>17</v>
      </c>
      <c r="H26" s="21">
        <f>+$C$11+$E$11+H13</f>
        <v>480000</v>
      </c>
      <c r="I26" s="227">
        <f>+$C$12+$E$12</f>
        <v>17390</v>
      </c>
      <c r="J26" s="227">
        <f t="shared" si="1"/>
        <v>104340</v>
      </c>
      <c r="K26" s="227">
        <f t="shared" si="2"/>
        <v>173900</v>
      </c>
      <c r="L26" s="216"/>
      <c r="M26" s="329">
        <f t="shared" si="0"/>
        <v>1200</v>
      </c>
    </row>
    <row r="27" spans="1:18" x14ac:dyDescent="0.2">
      <c r="A27" s="2" t="s">
        <v>8</v>
      </c>
      <c r="B27" s="3" t="b">
        <v>0</v>
      </c>
      <c r="C27" s="3" t="b">
        <v>0</v>
      </c>
      <c r="D27" s="3" t="b">
        <v>0</v>
      </c>
      <c r="E27" s="3" t="b">
        <v>1</v>
      </c>
      <c r="F27" s="3" t="b">
        <v>0</v>
      </c>
      <c r="G27" s="11" t="s">
        <v>16</v>
      </c>
      <c r="H27" s="21">
        <f>+$E$11+H13</f>
        <v>400000</v>
      </c>
      <c r="I27" s="227">
        <f>+$E$12</f>
        <v>8020</v>
      </c>
      <c r="J27" s="227">
        <f t="shared" si="1"/>
        <v>48120</v>
      </c>
      <c r="K27" s="227">
        <f t="shared" si="2"/>
        <v>80200</v>
      </c>
      <c r="M27" s="329">
        <f t="shared" si="0"/>
        <v>1000</v>
      </c>
    </row>
    <row r="28" spans="1:18" x14ac:dyDescent="0.2">
      <c r="A28" s="18" t="s">
        <v>9</v>
      </c>
      <c r="B28" s="19" t="b">
        <v>1</v>
      </c>
      <c r="C28" s="19" t="b">
        <v>1</v>
      </c>
      <c r="D28" s="19" t="b">
        <v>0</v>
      </c>
      <c r="E28" s="19" t="b">
        <v>1</v>
      </c>
      <c r="F28" s="19" t="b">
        <v>1</v>
      </c>
      <c r="G28" s="44" t="s">
        <v>6</v>
      </c>
      <c r="H28" s="45">
        <f>+F4</f>
        <v>0</v>
      </c>
      <c r="I28" s="45">
        <f>+F5</f>
        <v>0</v>
      </c>
      <c r="J28" s="45">
        <f>+F6</f>
        <v>0</v>
      </c>
      <c r="K28" s="45">
        <f>+F7</f>
        <v>0</v>
      </c>
      <c r="L28" s="222"/>
      <c r="M28" s="328">
        <f t="shared" si="0"/>
        <v>0</v>
      </c>
      <c r="N28" s="222"/>
      <c r="O28" s="222"/>
      <c r="P28" s="223"/>
      <c r="Q28" s="222"/>
      <c r="R28" s="222"/>
    </row>
    <row r="29" spans="1:18" x14ac:dyDescent="0.2">
      <c r="A29" s="2" t="s">
        <v>9</v>
      </c>
      <c r="B29" s="3" t="b">
        <v>1</v>
      </c>
      <c r="C29" s="3" t="b">
        <v>0</v>
      </c>
      <c r="D29" s="3" t="b">
        <v>0</v>
      </c>
      <c r="E29" s="3" t="b">
        <v>0</v>
      </c>
      <c r="F29" s="3" t="b">
        <v>0</v>
      </c>
      <c r="G29" s="46" t="s">
        <v>96</v>
      </c>
      <c r="H29" s="43"/>
      <c r="I29" s="43"/>
      <c r="J29" s="43"/>
      <c r="K29" s="43"/>
      <c r="L29" s="222"/>
      <c r="M29" s="329">
        <f t="shared" si="0"/>
        <v>0</v>
      </c>
      <c r="N29" s="222"/>
      <c r="O29" s="222"/>
      <c r="P29" s="222"/>
      <c r="Q29" s="222"/>
      <c r="R29" s="222"/>
    </row>
    <row r="30" spans="1:18" x14ac:dyDescent="0.2">
      <c r="A30" s="2" t="s">
        <v>9</v>
      </c>
      <c r="B30" s="3" t="b">
        <v>1</v>
      </c>
      <c r="C30" s="3" t="b">
        <v>1</v>
      </c>
      <c r="D30" s="3" t="b">
        <v>0</v>
      </c>
      <c r="E30" s="3" t="b">
        <v>0</v>
      </c>
      <c r="F30" s="3" t="b">
        <v>0</v>
      </c>
      <c r="G30" s="46" t="s">
        <v>97</v>
      </c>
      <c r="H30" s="43"/>
      <c r="I30" s="43"/>
      <c r="J30" s="43"/>
      <c r="K30" s="43"/>
      <c r="L30" s="222"/>
      <c r="M30" s="329">
        <f t="shared" si="0"/>
        <v>0</v>
      </c>
      <c r="N30" s="222"/>
      <c r="O30" s="222"/>
      <c r="P30" s="222"/>
      <c r="Q30" s="222"/>
      <c r="R30" s="222"/>
    </row>
    <row r="31" spans="1:18" x14ac:dyDescent="0.2">
      <c r="A31" s="2" t="s">
        <v>9</v>
      </c>
      <c r="B31" s="3" t="b">
        <v>1</v>
      </c>
      <c r="C31" s="3" t="b">
        <v>1</v>
      </c>
      <c r="D31" s="3" t="b">
        <v>0</v>
      </c>
      <c r="E31" s="3" t="b">
        <v>1</v>
      </c>
      <c r="F31" s="3" t="b">
        <v>0</v>
      </c>
      <c r="G31" s="46" t="s">
        <v>99</v>
      </c>
      <c r="H31" s="43"/>
      <c r="I31" s="43"/>
      <c r="J31" s="43"/>
      <c r="K31" s="43"/>
      <c r="L31" s="222"/>
      <c r="M31" s="329">
        <f t="shared" si="0"/>
        <v>0</v>
      </c>
      <c r="N31" s="222"/>
      <c r="O31" s="222"/>
      <c r="P31" s="222"/>
      <c r="Q31" s="222"/>
      <c r="R31" s="222"/>
    </row>
    <row r="32" spans="1:18" x14ac:dyDescent="0.2">
      <c r="A32" s="2" t="s">
        <v>9</v>
      </c>
      <c r="B32" s="3" t="b">
        <v>1</v>
      </c>
      <c r="C32" s="3" t="b">
        <v>0</v>
      </c>
      <c r="D32" s="3" t="b">
        <v>1</v>
      </c>
      <c r="E32" s="3" t="b">
        <v>0</v>
      </c>
      <c r="F32" s="3" t="b">
        <v>0</v>
      </c>
      <c r="G32" s="46" t="s">
        <v>98</v>
      </c>
      <c r="H32" s="43"/>
      <c r="I32" s="43"/>
      <c r="J32" s="43"/>
      <c r="K32" s="43"/>
      <c r="L32" s="222"/>
      <c r="M32" s="329">
        <f t="shared" si="0"/>
        <v>0</v>
      </c>
      <c r="N32" s="222"/>
      <c r="O32" s="222"/>
      <c r="P32" s="222"/>
      <c r="Q32" s="222"/>
      <c r="R32" s="222"/>
    </row>
    <row r="33" spans="1:18" x14ac:dyDescent="0.2">
      <c r="A33" s="2" t="s">
        <v>9</v>
      </c>
      <c r="B33" s="3" t="b">
        <v>0</v>
      </c>
      <c r="C33" s="3" t="b">
        <v>1</v>
      </c>
      <c r="D33" s="3" t="b">
        <v>0</v>
      </c>
      <c r="E33" s="3" t="b">
        <v>0</v>
      </c>
      <c r="F33" s="3" t="b">
        <v>0</v>
      </c>
      <c r="G33" s="46" t="s">
        <v>14</v>
      </c>
      <c r="H33" s="43"/>
      <c r="I33" s="43"/>
      <c r="J33" s="43"/>
      <c r="K33" s="43"/>
      <c r="L33" s="224"/>
      <c r="M33" s="329">
        <f t="shared" si="0"/>
        <v>0</v>
      </c>
      <c r="N33" s="225"/>
      <c r="O33" s="222"/>
      <c r="P33" s="222"/>
      <c r="Q33" s="222"/>
      <c r="R33" s="222"/>
    </row>
    <row r="34" spans="1:18" x14ac:dyDescent="0.2">
      <c r="A34" s="2" t="s">
        <v>9</v>
      </c>
      <c r="B34" s="3" t="b">
        <v>0</v>
      </c>
      <c r="C34" s="3" t="b">
        <v>1</v>
      </c>
      <c r="D34" s="3" t="b">
        <v>0</v>
      </c>
      <c r="E34" s="3" t="b">
        <v>1</v>
      </c>
      <c r="F34" s="3" t="b">
        <v>0</v>
      </c>
      <c r="G34" s="46" t="s">
        <v>17</v>
      </c>
      <c r="H34" s="43"/>
      <c r="I34" s="43"/>
      <c r="J34" s="43"/>
      <c r="K34" s="43"/>
      <c r="L34" s="224"/>
      <c r="M34" s="329">
        <f t="shared" si="0"/>
        <v>0</v>
      </c>
      <c r="N34" s="222"/>
      <c r="O34" s="222"/>
      <c r="P34" s="222"/>
      <c r="Q34" s="222"/>
      <c r="R34" s="222"/>
    </row>
    <row r="35" spans="1:18" x14ac:dyDescent="0.2">
      <c r="A35" s="2" t="s">
        <v>9</v>
      </c>
      <c r="B35" s="3" t="b">
        <v>0</v>
      </c>
      <c r="C35" s="3" t="b">
        <v>0</v>
      </c>
      <c r="D35" s="3" t="b">
        <v>0</v>
      </c>
      <c r="E35" s="3" t="b">
        <v>1</v>
      </c>
      <c r="F35" s="3" t="b">
        <v>0</v>
      </c>
      <c r="G35" s="46" t="s">
        <v>16</v>
      </c>
      <c r="H35" s="43"/>
      <c r="I35" s="43"/>
      <c r="J35" s="43"/>
      <c r="K35" s="43"/>
      <c r="L35" s="222"/>
      <c r="M35" s="329">
        <f t="shared" si="0"/>
        <v>0</v>
      </c>
      <c r="N35" s="222"/>
      <c r="O35" s="222"/>
      <c r="P35" s="222"/>
      <c r="Q35" s="222"/>
      <c r="R35" s="222"/>
    </row>
    <row r="36" spans="1:18" x14ac:dyDescent="0.2">
      <c r="A36" s="2" t="s">
        <v>9</v>
      </c>
      <c r="B36" s="3" t="b">
        <v>0</v>
      </c>
      <c r="C36" s="3" t="b">
        <v>0</v>
      </c>
      <c r="D36" s="3" t="b">
        <v>0</v>
      </c>
      <c r="E36" s="3" t="b">
        <v>0</v>
      </c>
      <c r="F36" s="3" t="b">
        <v>1</v>
      </c>
      <c r="G36" s="46" t="s">
        <v>1</v>
      </c>
      <c r="H36" s="43"/>
      <c r="I36" s="43"/>
      <c r="J36" s="43"/>
      <c r="K36" s="43"/>
      <c r="L36" s="222"/>
      <c r="M36" s="329">
        <f t="shared" si="0"/>
        <v>0</v>
      </c>
      <c r="N36" s="222"/>
      <c r="O36" s="222"/>
      <c r="P36" s="222"/>
      <c r="Q36" s="222"/>
      <c r="R36" s="222"/>
    </row>
    <row r="37" spans="1:18" x14ac:dyDescent="0.2">
      <c r="A37" s="2" t="s">
        <v>9</v>
      </c>
      <c r="B37" s="3" t="b">
        <v>1</v>
      </c>
      <c r="C37" s="3" t="b">
        <v>0</v>
      </c>
      <c r="D37" s="3" t="b">
        <v>0</v>
      </c>
      <c r="E37" s="3" t="b">
        <v>0</v>
      </c>
      <c r="F37" s="3" t="b">
        <v>1</v>
      </c>
      <c r="G37" s="46" t="s">
        <v>18</v>
      </c>
      <c r="H37" s="43"/>
      <c r="I37" s="43"/>
      <c r="J37" s="43"/>
      <c r="K37" s="43"/>
      <c r="L37" s="224"/>
      <c r="M37" s="329">
        <f t="shared" si="0"/>
        <v>0</v>
      </c>
      <c r="N37" s="222"/>
      <c r="O37" s="222"/>
      <c r="P37" s="222"/>
      <c r="Q37" s="222"/>
      <c r="R37" s="222"/>
    </row>
    <row r="38" spans="1:18" x14ac:dyDescent="0.2">
      <c r="A38" s="2" t="s">
        <v>9</v>
      </c>
      <c r="B38" s="3" t="b">
        <v>1</v>
      </c>
      <c r="C38" s="3" t="b">
        <v>1</v>
      </c>
      <c r="D38" s="3" t="b">
        <v>0</v>
      </c>
      <c r="E38" s="3" t="b">
        <v>0</v>
      </c>
      <c r="F38" s="3" t="b">
        <v>1</v>
      </c>
      <c r="G38" s="46" t="s">
        <v>19</v>
      </c>
      <c r="H38" s="43"/>
      <c r="I38" s="43"/>
      <c r="J38" s="43"/>
      <c r="K38" s="43"/>
      <c r="L38" s="224"/>
      <c r="M38" s="329">
        <f t="shared" si="0"/>
        <v>0</v>
      </c>
      <c r="N38" s="222"/>
      <c r="O38" s="222"/>
      <c r="P38" s="222"/>
      <c r="Q38" s="222"/>
      <c r="R38" s="222"/>
    </row>
    <row r="39" spans="1:18" x14ac:dyDescent="0.2">
      <c r="A39" s="2" t="s">
        <v>9</v>
      </c>
      <c r="B39" s="3" t="b">
        <v>1</v>
      </c>
      <c r="C39" s="3" t="b">
        <v>0</v>
      </c>
      <c r="D39" s="3" t="b">
        <v>0</v>
      </c>
      <c r="E39" s="3" t="b">
        <v>1</v>
      </c>
      <c r="F39" s="3" t="b">
        <v>1</v>
      </c>
      <c r="G39" s="46" t="s">
        <v>20</v>
      </c>
      <c r="H39" s="43"/>
      <c r="I39" s="43"/>
      <c r="J39" s="43"/>
      <c r="K39" s="43"/>
      <c r="L39" s="224"/>
      <c r="M39" s="329">
        <f t="shared" si="0"/>
        <v>0</v>
      </c>
      <c r="N39" s="222"/>
      <c r="O39" s="222"/>
      <c r="P39" s="222"/>
      <c r="Q39" s="222"/>
      <c r="R39" s="222"/>
    </row>
    <row r="40" spans="1:18" x14ac:dyDescent="0.2">
      <c r="A40" s="2" t="s">
        <v>9</v>
      </c>
      <c r="B40" s="3" t="b">
        <v>0</v>
      </c>
      <c r="C40" s="3" t="b">
        <v>1</v>
      </c>
      <c r="D40" s="3" t="b">
        <v>0</v>
      </c>
      <c r="E40" s="3" t="b">
        <v>0</v>
      </c>
      <c r="F40" s="3" t="b">
        <v>1</v>
      </c>
      <c r="G40" s="46" t="s">
        <v>21</v>
      </c>
      <c r="H40" s="43"/>
      <c r="I40" s="43"/>
      <c r="J40" s="43"/>
      <c r="K40" s="43"/>
      <c r="L40" s="224"/>
      <c r="M40" s="329">
        <f t="shared" si="0"/>
        <v>0</v>
      </c>
      <c r="N40" s="222"/>
      <c r="O40" s="222"/>
      <c r="P40" s="222"/>
      <c r="Q40" s="222"/>
      <c r="R40" s="222"/>
    </row>
    <row r="41" spans="1:18" x14ac:dyDescent="0.2">
      <c r="A41" s="2" t="s">
        <v>9</v>
      </c>
      <c r="B41" s="3" t="b">
        <v>0</v>
      </c>
      <c r="C41" s="3" t="b">
        <v>1</v>
      </c>
      <c r="D41" s="3" t="b">
        <v>0</v>
      </c>
      <c r="E41" s="3" t="b">
        <v>1</v>
      </c>
      <c r="F41" s="3" t="b">
        <v>1</v>
      </c>
      <c r="G41" s="46" t="s">
        <v>22</v>
      </c>
      <c r="H41" s="43"/>
      <c r="I41" s="43"/>
      <c r="J41" s="43"/>
      <c r="K41" s="43"/>
      <c r="L41" s="224"/>
      <c r="M41" s="329">
        <f t="shared" si="0"/>
        <v>0</v>
      </c>
      <c r="N41" s="222"/>
      <c r="O41" s="222"/>
      <c r="P41" s="222"/>
      <c r="Q41" s="222"/>
      <c r="R41" s="222"/>
    </row>
    <row r="42" spans="1:18" x14ac:dyDescent="0.2">
      <c r="A42" s="2" t="s">
        <v>9</v>
      </c>
      <c r="B42" s="3" t="b">
        <v>0</v>
      </c>
      <c r="C42" s="3" t="b">
        <v>0</v>
      </c>
      <c r="D42" s="3" t="b">
        <v>0</v>
      </c>
      <c r="E42" s="3" t="b">
        <v>1</v>
      </c>
      <c r="F42" s="3" t="b">
        <v>1</v>
      </c>
      <c r="G42" s="46" t="s">
        <v>23</v>
      </c>
      <c r="H42" s="43"/>
      <c r="I42" s="43"/>
      <c r="J42" s="43"/>
      <c r="K42" s="43"/>
      <c r="L42" s="224"/>
      <c r="M42" s="329">
        <f t="shared" si="0"/>
        <v>0</v>
      </c>
      <c r="N42" s="222"/>
      <c r="O42" s="222"/>
      <c r="P42" s="222"/>
      <c r="Q42" s="222"/>
      <c r="R42" s="222"/>
    </row>
    <row r="43" spans="1:18" ht="22" x14ac:dyDescent="0.3">
      <c r="A43" s="36" t="s">
        <v>94</v>
      </c>
    </row>
    <row r="44" spans="1:18" ht="22" x14ac:dyDescent="0.3">
      <c r="A44" s="36" t="s">
        <v>135</v>
      </c>
      <c r="H44" s="37"/>
      <c r="I44" s="37"/>
    </row>
    <row r="45" spans="1:18" ht="22" x14ac:dyDescent="0.3">
      <c r="A45" s="36" t="s">
        <v>130</v>
      </c>
    </row>
  </sheetData>
  <mergeCells count="1">
    <mergeCell ref="A3:A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812C-621E-48D9-9C0E-D2BB9844044C}">
  <sheetPr>
    <tabColor rgb="FF92D050"/>
  </sheetPr>
  <dimension ref="A1:Q43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15.6640625" customWidth="1"/>
    <col min="2" max="6" width="10.1640625" customWidth="1"/>
    <col min="7" max="7" width="15.5" bestFit="1" customWidth="1"/>
    <col min="8" max="8" width="12.83203125" customWidth="1"/>
    <col min="9" max="10" width="15.83203125" bestFit="1" customWidth="1"/>
    <col min="11" max="11" width="16.83203125" bestFit="1" customWidth="1"/>
  </cols>
  <sheetData>
    <row r="1" spans="1:17" x14ac:dyDescent="0.2">
      <c r="A1" s="6" t="s">
        <v>68</v>
      </c>
    </row>
    <row r="3" spans="1:17" ht="14.5" customHeight="1" x14ac:dyDescent="0.2">
      <c r="A3" s="337" t="s">
        <v>37</v>
      </c>
      <c r="B3" s="5" t="s">
        <v>2</v>
      </c>
      <c r="C3" s="5" t="s">
        <v>3</v>
      </c>
      <c r="D3" s="5" t="s">
        <v>34</v>
      </c>
      <c r="E3" s="5" t="s">
        <v>35</v>
      </c>
      <c r="F3" s="42" t="s">
        <v>6</v>
      </c>
      <c r="J3" s="2" t="s">
        <v>29</v>
      </c>
      <c r="K3" s="2" t="s">
        <v>57</v>
      </c>
    </row>
    <row r="4" spans="1:17" x14ac:dyDescent="0.2">
      <c r="A4" s="337"/>
      <c r="B4" s="23">
        <f>+'COLLECTION PRICE'!C37</f>
        <v>1490</v>
      </c>
      <c r="C4" s="23">
        <f>+'COLLECTION PRICE'!D37</f>
        <v>1790</v>
      </c>
      <c r="D4" s="23">
        <f>+'COLLECTION PRICE'!E37</f>
        <v>2190</v>
      </c>
      <c r="E4" s="23">
        <f>+'COLLECTION PRICE'!F37</f>
        <v>2490</v>
      </c>
      <c r="F4" s="43"/>
      <c r="G4" s="6" t="s">
        <v>51</v>
      </c>
      <c r="J4" s="2" t="s">
        <v>14</v>
      </c>
      <c r="K4" s="2" t="s">
        <v>58</v>
      </c>
    </row>
    <row r="5" spans="1:17" x14ac:dyDescent="0.2">
      <c r="A5" s="337"/>
      <c r="B5" s="28">
        <f>+'STORAGE PRICE'!C41</f>
        <v>67.802530487999988</v>
      </c>
      <c r="C5" s="28">
        <f>+'STORAGE PRICE'!D41</f>
        <v>79.294484808000007</v>
      </c>
      <c r="D5" s="28">
        <f>+'STORAGE PRICE'!E41</f>
        <v>90.786439127999998</v>
      </c>
      <c r="E5" s="28">
        <f>+'STORAGE PRICE'!F41</f>
        <v>102.278393448</v>
      </c>
      <c r="F5" s="43"/>
      <c r="G5" s="6" t="s">
        <v>52</v>
      </c>
      <c r="J5" s="2" t="s">
        <v>15</v>
      </c>
      <c r="K5" s="2" t="s">
        <v>59</v>
      </c>
      <c r="P5" s="35"/>
      <c r="Q5" s="40"/>
    </row>
    <row r="6" spans="1:17" x14ac:dyDescent="0.2">
      <c r="A6" s="337"/>
      <c r="B6" s="28">
        <f>+'STORAGE PRICE'!C42</f>
        <v>321.77472096000002</v>
      </c>
      <c r="C6" s="28">
        <f>+'STORAGE PRICE'!D42</f>
        <v>376.93610169599998</v>
      </c>
      <c r="D6" s="28">
        <f>+'STORAGE PRICE'!E42</f>
        <v>430.94828699999994</v>
      </c>
      <c r="E6" s="28">
        <f>+'STORAGE PRICE'!F42</f>
        <v>486.10966773600001</v>
      </c>
      <c r="F6" s="43"/>
      <c r="G6" s="6" t="s">
        <v>53</v>
      </c>
      <c r="J6" s="2" t="s">
        <v>16</v>
      </c>
      <c r="K6" s="2" t="s">
        <v>59</v>
      </c>
    </row>
    <row r="7" spans="1:17" x14ac:dyDescent="0.2">
      <c r="A7" s="337"/>
      <c r="B7" s="28">
        <f>+'STORAGE PRICE'!C43</f>
        <v>610.22277439200002</v>
      </c>
      <c r="C7" s="28">
        <f>+'STORAGE PRICE'!D43</f>
        <v>713.65036327199994</v>
      </c>
      <c r="D7" s="28">
        <f>+'STORAGE PRICE'!E43</f>
        <v>817.07795215200008</v>
      </c>
      <c r="E7" s="28">
        <f>+'STORAGE PRICE'!F43</f>
        <v>920.505541032</v>
      </c>
      <c r="F7" s="43"/>
      <c r="G7" s="6" t="s">
        <v>54</v>
      </c>
      <c r="J7" s="2" t="s">
        <v>1</v>
      </c>
      <c r="K7" s="2" t="s">
        <v>60</v>
      </c>
    </row>
    <row r="9" spans="1:17" x14ac:dyDescent="0.2">
      <c r="A9" s="6" t="s">
        <v>25</v>
      </c>
    </row>
    <row r="10" spans="1:17" ht="14.5" customHeight="1" x14ac:dyDescent="0.2">
      <c r="A10" s="24" t="s">
        <v>12</v>
      </c>
      <c r="B10" s="25" t="s">
        <v>29</v>
      </c>
      <c r="C10" s="25" t="s">
        <v>14</v>
      </c>
      <c r="D10" s="25" t="s">
        <v>15</v>
      </c>
      <c r="E10" s="25" t="s">
        <v>16</v>
      </c>
      <c r="F10" s="25" t="s">
        <v>1</v>
      </c>
      <c r="G10" s="20"/>
      <c r="H10" s="20" t="s">
        <v>27</v>
      </c>
      <c r="I10" s="20"/>
      <c r="J10" s="20"/>
      <c r="K10" s="20"/>
    </row>
    <row r="11" spans="1:17" x14ac:dyDescent="0.2">
      <c r="A11" s="24" t="s">
        <v>32</v>
      </c>
      <c r="B11" s="226">
        <f>+B4-H13</f>
        <v>990</v>
      </c>
      <c r="C11" s="226">
        <f>+C4-B4</f>
        <v>300</v>
      </c>
      <c r="D11" s="226">
        <f>+D4-B4</f>
        <v>700</v>
      </c>
      <c r="E11" s="226">
        <f>+E4-C4</f>
        <v>700</v>
      </c>
      <c r="F11" s="226"/>
      <c r="G11" s="20" t="s">
        <v>12</v>
      </c>
      <c r="H11" s="20" t="s">
        <v>10</v>
      </c>
      <c r="I11" s="20"/>
      <c r="J11" s="20" t="s">
        <v>67</v>
      </c>
      <c r="K11" s="20" t="s">
        <v>42</v>
      </c>
    </row>
    <row r="12" spans="1:17" ht="16" thickBot="1" x14ac:dyDescent="0.25">
      <c r="A12" s="29" t="s">
        <v>33</v>
      </c>
      <c r="B12" s="231">
        <f>+B5</f>
        <v>67.802530487999988</v>
      </c>
      <c r="C12" s="231">
        <f>+C5-B5</f>
        <v>11.491954320000019</v>
      </c>
      <c r="D12" s="231">
        <f>+D5-B12</f>
        <v>22.98390864000001</v>
      </c>
      <c r="E12" s="231">
        <f>+E5-C5</f>
        <v>22.983908639999996</v>
      </c>
      <c r="F12" s="47"/>
      <c r="G12" s="30" t="s">
        <v>13</v>
      </c>
      <c r="H12" s="30" t="s">
        <v>30</v>
      </c>
      <c r="I12" s="30" t="s">
        <v>31</v>
      </c>
      <c r="J12" s="30" t="s">
        <v>41</v>
      </c>
      <c r="K12" s="30" t="s">
        <v>38</v>
      </c>
    </row>
    <row r="13" spans="1:17" ht="16" thickTop="1" x14ac:dyDescent="0.2">
      <c r="A13" s="31" t="s">
        <v>24</v>
      </c>
      <c r="B13" s="32" t="b">
        <v>0</v>
      </c>
      <c r="C13" s="32" t="b">
        <v>0</v>
      </c>
      <c r="D13" s="32" t="b">
        <v>0</v>
      </c>
      <c r="E13" s="32" t="b">
        <v>0</v>
      </c>
      <c r="F13" s="32" t="b">
        <v>0</v>
      </c>
      <c r="G13" s="33" t="s">
        <v>126</v>
      </c>
      <c r="H13" s="34">
        <v>500</v>
      </c>
      <c r="I13" s="33"/>
      <c r="J13" s="33"/>
      <c r="K13" s="33"/>
    </row>
    <row r="14" spans="1:17" x14ac:dyDescent="0.2">
      <c r="A14" s="18" t="s">
        <v>2</v>
      </c>
      <c r="B14" s="19" t="b">
        <v>1</v>
      </c>
      <c r="C14" s="19" t="b">
        <v>0</v>
      </c>
      <c r="D14" s="19" t="b">
        <v>0</v>
      </c>
      <c r="E14" s="19" t="b">
        <v>0</v>
      </c>
      <c r="F14" s="19" t="b">
        <v>0</v>
      </c>
      <c r="G14" s="18" t="s">
        <v>2</v>
      </c>
      <c r="H14" s="22">
        <f>+B4</f>
        <v>1490</v>
      </c>
      <c r="I14" s="27">
        <f>+B5</f>
        <v>67.802530487999988</v>
      </c>
      <c r="J14" s="27">
        <f>+B6</f>
        <v>321.77472096000002</v>
      </c>
      <c r="K14" s="27">
        <f>+B7</f>
        <v>610.22277439200002</v>
      </c>
      <c r="P14" s="26"/>
    </row>
    <row r="15" spans="1:17" x14ac:dyDescent="0.2">
      <c r="A15" s="18" t="s">
        <v>3</v>
      </c>
      <c r="B15" s="19" t="b">
        <v>1</v>
      </c>
      <c r="C15" s="19" t="b">
        <v>1</v>
      </c>
      <c r="D15" s="19" t="b">
        <v>0</v>
      </c>
      <c r="E15" s="19" t="b">
        <v>0</v>
      </c>
      <c r="F15" s="19" t="b">
        <v>0</v>
      </c>
      <c r="G15" s="18" t="s">
        <v>3</v>
      </c>
      <c r="H15" s="22">
        <f>+C4</f>
        <v>1790</v>
      </c>
      <c r="I15" s="27">
        <f>+C5</f>
        <v>79.294484808000007</v>
      </c>
      <c r="J15" s="27">
        <f>+C6</f>
        <v>376.93610169599998</v>
      </c>
      <c r="K15" s="27">
        <f>+C7</f>
        <v>713.65036327199994</v>
      </c>
    </row>
    <row r="16" spans="1:17" x14ac:dyDescent="0.2">
      <c r="A16" s="2" t="s">
        <v>3</v>
      </c>
      <c r="B16" s="3" t="b">
        <v>1</v>
      </c>
      <c r="C16" s="3" t="b">
        <v>0</v>
      </c>
      <c r="D16" s="3" t="b">
        <v>0</v>
      </c>
      <c r="E16" s="3" t="b">
        <v>0</v>
      </c>
      <c r="F16" s="3" t="b">
        <v>0</v>
      </c>
      <c r="G16" s="11" t="s">
        <v>96</v>
      </c>
      <c r="H16" s="21">
        <f>+$B$11+H13</f>
        <v>1490</v>
      </c>
      <c r="I16" s="227">
        <f>+$B$12</f>
        <v>67.802530487999988</v>
      </c>
      <c r="J16" s="227">
        <f>+I16*5*(100%-10%)</f>
        <v>305.11138719599995</v>
      </c>
      <c r="K16" s="227">
        <f>+I16*10*(100%-15%)</f>
        <v>576.3215091479999</v>
      </c>
    </row>
    <row r="17" spans="1:16" x14ac:dyDescent="0.2">
      <c r="A17" s="2" t="s">
        <v>3</v>
      </c>
      <c r="B17" s="3" t="b">
        <v>0</v>
      </c>
      <c r="C17" s="3" t="b">
        <v>1</v>
      </c>
      <c r="D17" s="3" t="b">
        <v>0</v>
      </c>
      <c r="E17" s="3" t="b">
        <v>0</v>
      </c>
      <c r="F17" s="3" t="b">
        <v>0</v>
      </c>
      <c r="G17" s="11" t="s">
        <v>14</v>
      </c>
      <c r="H17" s="21">
        <f>+$C$11+H13</f>
        <v>800</v>
      </c>
      <c r="I17" s="227">
        <f>+$C$12</f>
        <v>11.491954320000019</v>
      </c>
      <c r="J17" s="227">
        <f>+I17*5*(100%-10%)</f>
        <v>51.713794440000086</v>
      </c>
      <c r="K17" s="227">
        <f>+I17*10*(100%-15%)</f>
        <v>97.681611720000163</v>
      </c>
    </row>
    <row r="18" spans="1:16" x14ac:dyDescent="0.2">
      <c r="A18" s="18" t="s">
        <v>7</v>
      </c>
      <c r="B18" s="19" t="b">
        <v>1</v>
      </c>
      <c r="C18" s="19" t="b">
        <v>0</v>
      </c>
      <c r="D18" s="19" t="b">
        <v>1</v>
      </c>
      <c r="E18" s="19" t="b">
        <v>0</v>
      </c>
      <c r="F18" s="19" t="b">
        <v>0</v>
      </c>
      <c r="G18" s="18" t="s">
        <v>7</v>
      </c>
      <c r="H18" s="22">
        <f>+D4</f>
        <v>2190</v>
      </c>
      <c r="I18" s="27">
        <f>+D5</f>
        <v>90.786439127999998</v>
      </c>
      <c r="J18" s="27">
        <f>+D6</f>
        <v>430.94828699999994</v>
      </c>
      <c r="K18" s="27">
        <f>+D7</f>
        <v>817.07795215200008</v>
      </c>
    </row>
    <row r="19" spans="1:16" x14ac:dyDescent="0.2">
      <c r="A19" s="2" t="s">
        <v>7</v>
      </c>
      <c r="B19" s="3" t="b">
        <v>1</v>
      </c>
      <c r="C19" s="3" t="b">
        <v>0</v>
      </c>
      <c r="D19" s="3" t="b">
        <v>0</v>
      </c>
      <c r="E19" s="3" t="b">
        <v>0</v>
      </c>
      <c r="F19" s="3" t="b">
        <v>0</v>
      </c>
      <c r="G19" s="11" t="s">
        <v>96</v>
      </c>
      <c r="H19" s="21">
        <f>+$B$11+H13</f>
        <v>1490</v>
      </c>
      <c r="I19" s="227">
        <f>+$B$12</f>
        <v>67.802530487999988</v>
      </c>
      <c r="J19" s="227">
        <f>+I19*5*(100%-10%)</f>
        <v>305.11138719599995</v>
      </c>
      <c r="K19" s="227">
        <f>+I19*10*(100%-15%)</f>
        <v>576.3215091479999</v>
      </c>
    </row>
    <row r="20" spans="1:16" x14ac:dyDescent="0.2">
      <c r="A20" s="2" t="s">
        <v>7</v>
      </c>
      <c r="B20" s="3" t="b">
        <v>0</v>
      </c>
      <c r="C20" s="3" t="b">
        <v>0</v>
      </c>
      <c r="D20" s="3" t="b">
        <v>1</v>
      </c>
      <c r="E20" s="3" t="b">
        <v>0</v>
      </c>
      <c r="F20" s="3" t="b">
        <v>0</v>
      </c>
      <c r="G20" s="11" t="s">
        <v>15</v>
      </c>
      <c r="H20" s="21">
        <f>+$D$11+H13</f>
        <v>1200</v>
      </c>
      <c r="I20" s="227">
        <f>+$D$12</f>
        <v>22.98390864000001</v>
      </c>
      <c r="J20" s="227">
        <f>+I20*5*(100%-10%)</f>
        <v>103.42758888000004</v>
      </c>
      <c r="K20" s="227">
        <f>+I20*10*(100%-15%)</f>
        <v>195.36322344000007</v>
      </c>
      <c r="P20" s="38"/>
    </row>
    <row r="21" spans="1:16" x14ac:dyDescent="0.2">
      <c r="A21" s="18" t="s">
        <v>8</v>
      </c>
      <c r="B21" s="19" t="b">
        <v>1</v>
      </c>
      <c r="C21" s="19" t="b">
        <v>1</v>
      </c>
      <c r="D21" s="19" t="b">
        <v>1</v>
      </c>
      <c r="E21" s="19" t="b">
        <v>0</v>
      </c>
      <c r="F21" s="19" t="b">
        <v>0</v>
      </c>
      <c r="G21" s="18" t="s">
        <v>8</v>
      </c>
      <c r="H21" s="22">
        <f>+E4</f>
        <v>2490</v>
      </c>
      <c r="I21" s="27">
        <f>+E5</f>
        <v>102.278393448</v>
      </c>
      <c r="J21" s="27">
        <f>+E6</f>
        <v>486.10966773600001</v>
      </c>
      <c r="K21" s="27">
        <f>+E7</f>
        <v>920.505541032</v>
      </c>
    </row>
    <row r="22" spans="1:16" x14ac:dyDescent="0.2">
      <c r="A22" s="2" t="s">
        <v>8</v>
      </c>
      <c r="B22" s="3" t="b">
        <v>1</v>
      </c>
      <c r="C22" s="3" t="b">
        <v>0</v>
      </c>
      <c r="D22" s="3" t="b">
        <v>0</v>
      </c>
      <c r="E22" s="3" t="b">
        <v>0</v>
      </c>
      <c r="F22" s="3" t="b">
        <v>0</v>
      </c>
      <c r="G22" s="11" t="s">
        <v>96</v>
      </c>
      <c r="H22" s="21">
        <f>+$B$11+H13</f>
        <v>1490</v>
      </c>
      <c r="I22" s="227">
        <f>+$B$12</f>
        <v>67.802530487999988</v>
      </c>
      <c r="J22" s="227">
        <f t="shared" ref="J22:J27" si="0">+I22*5*(100%-10%)</f>
        <v>305.11138719599995</v>
      </c>
      <c r="K22" s="227">
        <f t="shared" ref="K22:K27" si="1">+I22*10*(100%-15%)</f>
        <v>576.3215091479999</v>
      </c>
    </row>
    <row r="23" spans="1:16" x14ac:dyDescent="0.2">
      <c r="A23" s="2" t="s">
        <v>8</v>
      </c>
      <c r="B23" s="3" t="b">
        <v>1</v>
      </c>
      <c r="C23" s="3" t="b">
        <v>1</v>
      </c>
      <c r="D23" s="3" t="b">
        <v>0</v>
      </c>
      <c r="E23" s="3" t="b">
        <v>0</v>
      </c>
      <c r="F23" s="3" t="b">
        <v>0</v>
      </c>
      <c r="G23" s="11" t="s">
        <v>97</v>
      </c>
      <c r="H23" s="21">
        <f>+$B$11+$C$11+H13</f>
        <v>1790</v>
      </c>
      <c r="I23" s="227">
        <f>+$B$12+$C$12</f>
        <v>79.294484808000007</v>
      </c>
      <c r="J23" s="227">
        <f t="shared" si="0"/>
        <v>356.82518163600002</v>
      </c>
      <c r="K23" s="227">
        <f t="shared" si="1"/>
        <v>674.003120868</v>
      </c>
    </row>
    <row r="24" spans="1:16" x14ac:dyDescent="0.2">
      <c r="A24" s="2" t="s">
        <v>8</v>
      </c>
      <c r="B24" s="3" t="b">
        <v>1</v>
      </c>
      <c r="C24" s="3" t="b">
        <v>0</v>
      </c>
      <c r="D24" s="3" t="b">
        <v>1</v>
      </c>
      <c r="E24" s="3" t="b">
        <v>0</v>
      </c>
      <c r="F24" s="3" t="b">
        <v>0</v>
      </c>
      <c r="G24" s="11" t="s">
        <v>98</v>
      </c>
      <c r="H24" s="21">
        <f>+$B$11+$D$11+H13</f>
        <v>2190</v>
      </c>
      <c r="I24" s="227">
        <f>+$B$12+$D$12</f>
        <v>90.786439127999998</v>
      </c>
      <c r="J24" s="227">
        <f t="shared" si="0"/>
        <v>408.53897607599998</v>
      </c>
      <c r="K24" s="227">
        <f t="shared" si="1"/>
        <v>771.68473258799997</v>
      </c>
    </row>
    <row r="25" spans="1:16" x14ac:dyDescent="0.2">
      <c r="A25" s="2" t="s">
        <v>8</v>
      </c>
      <c r="B25" s="3" t="b">
        <v>0</v>
      </c>
      <c r="C25" s="3" t="b">
        <v>1</v>
      </c>
      <c r="D25" s="3" t="b">
        <v>0</v>
      </c>
      <c r="E25" s="3" t="b">
        <v>0</v>
      </c>
      <c r="F25" s="3" t="b">
        <v>0</v>
      </c>
      <c r="G25" s="11" t="s">
        <v>14</v>
      </c>
      <c r="H25" s="21">
        <f>+$C$11+H13</f>
        <v>800</v>
      </c>
      <c r="I25" s="227">
        <f>+$C$12</f>
        <v>11.491954320000019</v>
      </c>
      <c r="J25" s="227">
        <f t="shared" si="0"/>
        <v>51.713794440000086</v>
      </c>
      <c r="K25" s="227">
        <f t="shared" si="1"/>
        <v>97.681611720000163</v>
      </c>
    </row>
    <row r="26" spans="1:16" x14ac:dyDescent="0.2">
      <c r="A26" s="2" t="s">
        <v>8</v>
      </c>
      <c r="B26" s="3" t="b">
        <v>0</v>
      </c>
      <c r="C26" s="3" t="b">
        <v>1</v>
      </c>
      <c r="D26" s="3" t="b">
        <v>0</v>
      </c>
      <c r="E26" s="3" t="b">
        <v>1</v>
      </c>
      <c r="F26" s="3" t="b">
        <v>0</v>
      </c>
      <c r="G26" s="11" t="s">
        <v>17</v>
      </c>
      <c r="H26" s="21">
        <f>+$C$11+$E$11+H13</f>
        <v>1500</v>
      </c>
      <c r="I26" s="227">
        <f>+$C$12+$E$12</f>
        <v>34.475862960000015</v>
      </c>
      <c r="J26" s="227">
        <f t="shared" si="0"/>
        <v>155.14138332000007</v>
      </c>
      <c r="K26" s="227">
        <f t="shared" si="1"/>
        <v>293.04483516000016</v>
      </c>
    </row>
    <row r="27" spans="1:16" x14ac:dyDescent="0.2">
      <c r="A27" s="2" t="s">
        <v>8</v>
      </c>
      <c r="B27" s="3" t="b">
        <v>0</v>
      </c>
      <c r="C27" s="3" t="b">
        <v>0</v>
      </c>
      <c r="D27" s="3" t="b">
        <v>0</v>
      </c>
      <c r="E27" s="3" t="b">
        <v>1</v>
      </c>
      <c r="F27" s="3" t="b">
        <v>0</v>
      </c>
      <c r="G27" s="11" t="s">
        <v>16</v>
      </c>
      <c r="H27" s="21">
        <f>+$E$11+H13</f>
        <v>1200</v>
      </c>
      <c r="I27" s="227">
        <f>+$E$12</f>
        <v>22.983908639999996</v>
      </c>
      <c r="J27" s="227">
        <f t="shared" si="0"/>
        <v>103.42758887999999</v>
      </c>
      <c r="K27" s="227">
        <f t="shared" si="1"/>
        <v>195.36322343999996</v>
      </c>
    </row>
    <row r="28" spans="1:16" x14ac:dyDescent="0.2">
      <c r="A28" s="18" t="s">
        <v>9</v>
      </c>
      <c r="B28" s="19" t="b">
        <v>1</v>
      </c>
      <c r="C28" s="19" t="b">
        <v>1</v>
      </c>
      <c r="D28" s="19" t="b">
        <v>0</v>
      </c>
      <c r="E28" s="19" t="b">
        <v>1</v>
      </c>
      <c r="F28" s="19" t="b">
        <v>1</v>
      </c>
      <c r="G28" s="44" t="s">
        <v>6</v>
      </c>
      <c r="H28" s="45">
        <f>+F4</f>
        <v>0</v>
      </c>
      <c r="I28" s="45">
        <f>+F5</f>
        <v>0</v>
      </c>
      <c r="J28" s="45">
        <f>+F6</f>
        <v>0</v>
      </c>
      <c r="K28" s="45">
        <f>+F7</f>
        <v>0</v>
      </c>
    </row>
    <row r="29" spans="1:16" x14ac:dyDescent="0.2">
      <c r="A29" s="2" t="s">
        <v>9</v>
      </c>
      <c r="B29" s="3" t="b">
        <v>1</v>
      </c>
      <c r="C29" s="3" t="b">
        <v>0</v>
      </c>
      <c r="D29" s="3" t="b">
        <v>0</v>
      </c>
      <c r="E29" s="3" t="b">
        <v>0</v>
      </c>
      <c r="F29" s="3" t="b">
        <v>0</v>
      </c>
      <c r="G29" s="46" t="s">
        <v>2</v>
      </c>
      <c r="H29" s="43"/>
      <c r="I29" s="43"/>
      <c r="J29" s="43"/>
      <c r="K29" s="43"/>
    </row>
    <row r="30" spans="1:16" x14ac:dyDescent="0.2">
      <c r="A30" s="2" t="s">
        <v>9</v>
      </c>
      <c r="B30" s="3" t="b">
        <v>1</v>
      </c>
      <c r="C30" s="3" t="b">
        <v>1</v>
      </c>
      <c r="D30" s="3" t="b">
        <v>0</v>
      </c>
      <c r="E30" s="3" t="b">
        <v>0</v>
      </c>
      <c r="F30" s="3" t="b">
        <v>0</v>
      </c>
      <c r="G30" s="46" t="s">
        <v>3</v>
      </c>
      <c r="H30" s="43"/>
      <c r="I30" s="43"/>
      <c r="J30" s="43"/>
      <c r="K30" s="43"/>
    </row>
    <row r="31" spans="1:16" x14ac:dyDescent="0.2">
      <c r="A31" s="2" t="s">
        <v>9</v>
      </c>
      <c r="B31" s="3" t="b">
        <v>1</v>
      </c>
      <c r="C31" s="3" t="b">
        <v>1</v>
      </c>
      <c r="D31" s="3" t="b">
        <v>0</v>
      </c>
      <c r="E31" s="3" t="b">
        <v>1</v>
      </c>
      <c r="F31" s="3" t="b">
        <v>0</v>
      </c>
      <c r="G31" s="46" t="s">
        <v>8</v>
      </c>
      <c r="H31" s="43"/>
      <c r="I31" s="43"/>
      <c r="J31" s="43"/>
      <c r="K31" s="43"/>
    </row>
    <row r="32" spans="1:16" x14ac:dyDescent="0.2">
      <c r="A32" s="2" t="s">
        <v>9</v>
      </c>
      <c r="B32" s="3" t="b">
        <v>1</v>
      </c>
      <c r="C32" s="3" t="b">
        <v>0</v>
      </c>
      <c r="D32" s="3" t="b">
        <v>1</v>
      </c>
      <c r="E32" s="3" t="b">
        <v>0</v>
      </c>
      <c r="F32" s="3" t="b">
        <v>0</v>
      </c>
      <c r="G32" s="46" t="s">
        <v>7</v>
      </c>
      <c r="H32" s="43"/>
      <c r="I32" s="43"/>
      <c r="J32" s="43"/>
      <c r="K32" s="43"/>
    </row>
    <row r="33" spans="1:11" x14ac:dyDescent="0.2">
      <c r="A33" s="2" t="s">
        <v>9</v>
      </c>
      <c r="B33" s="3" t="b">
        <v>0</v>
      </c>
      <c r="C33" s="3" t="b">
        <v>1</v>
      </c>
      <c r="D33" s="3" t="b">
        <v>0</v>
      </c>
      <c r="E33" s="3" t="b">
        <v>0</v>
      </c>
      <c r="F33" s="3" t="b">
        <v>0</v>
      </c>
      <c r="G33" s="46" t="s">
        <v>14</v>
      </c>
      <c r="H33" s="43"/>
      <c r="I33" s="43"/>
      <c r="J33" s="43"/>
      <c r="K33" s="43"/>
    </row>
    <row r="34" spans="1:11" x14ac:dyDescent="0.2">
      <c r="A34" s="2" t="s">
        <v>9</v>
      </c>
      <c r="B34" s="3" t="b">
        <v>0</v>
      </c>
      <c r="C34" s="3" t="b">
        <v>1</v>
      </c>
      <c r="D34" s="3" t="b">
        <v>0</v>
      </c>
      <c r="E34" s="3" t="b">
        <v>1</v>
      </c>
      <c r="F34" s="3" t="b">
        <v>0</v>
      </c>
      <c r="G34" s="46" t="s">
        <v>17</v>
      </c>
      <c r="H34" s="43"/>
      <c r="I34" s="43"/>
      <c r="J34" s="43"/>
      <c r="K34" s="43"/>
    </row>
    <row r="35" spans="1:11" x14ac:dyDescent="0.2">
      <c r="A35" s="2" t="s">
        <v>9</v>
      </c>
      <c r="B35" s="3" t="b">
        <v>0</v>
      </c>
      <c r="C35" s="3" t="b">
        <v>0</v>
      </c>
      <c r="D35" s="3" t="b">
        <v>0</v>
      </c>
      <c r="E35" s="3" t="b">
        <v>1</v>
      </c>
      <c r="F35" s="3" t="b">
        <v>0</v>
      </c>
      <c r="G35" s="46" t="s">
        <v>16</v>
      </c>
      <c r="H35" s="43"/>
      <c r="I35" s="43"/>
      <c r="J35" s="43"/>
      <c r="K35" s="43"/>
    </row>
    <row r="36" spans="1:11" x14ac:dyDescent="0.2">
      <c r="A36" s="2" t="s">
        <v>9</v>
      </c>
      <c r="B36" s="3" t="b">
        <v>0</v>
      </c>
      <c r="C36" s="3" t="b">
        <v>0</v>
      </c>
      <c r="D36" s="3" t="b">
        <v>0</v>
      </c>
      <c r="E36" s="3" t="b">
        <v>0</v>
      </c>
      <c r="F36" s="3" t="b">
        <v>1</v>
      </c>
      <c r="G36" s="46" t="s">
        <v>1</v>
      </c>
      <c r="H36" s="43"/>
      <c r="I36" s="43"/>
      <c r="J36" s="43"/>
      <c r="K36" s="43"/>
    </row>
    <row r="37" spans="1:11" x14ac:dyDescent="0.2">
      <c r="A37" s="2" t="s">
        <v>9</v>
      </c>
      <c r="B37" s="3" t="b">
        <v>1</v>
      </c>
      <c r="C37" s="3" t="b">
        <v>0</v>
      </c>
      <c r="D37" s="3" t="b">
        <v>0</v>
      </c>
      <c r="E37" s="3" t="b">
        <v>0</v>
      </c>
      <c r="F37" s="3" t="b">
        <v>1</v>
      </c>
      <c r="G37" s="46" t="s">
        <v>18</v>
      </c>
      <c r="H37" s="43"/>
      <c r="I37" s="43"/>
      <c r="J37" s="43"/>
      <c r="K37" s="43"/>
    </row>
    <row r="38" spans="1:11" x14ac:dyDescent="0.2">
      <c r="A38" s="2" t="s">
        <v>9</v>
      </c>
      <c r="B38" s="3" t="b">
        <v>1</v>
      </c>
      <c r="C38" s="3" t="b">
        <v>1</v>
      </c>
      <c r="D38" s="3" t="b">
        <v>0</v>
      </c>
      <c r="E38" s="3" t="b">
        <v>0</v>
      </c>
      <c r="F38" s="3" t="b">
        <v>1</v>
      </c>
      <c r="G38" s="46" t="s">
        <v>19</v>
      </c>
      <c r="H38" s="43"/>
      <c r="I38" s="43"/>
      <c r="J38" s="43"/>
      <c r="K38" s="43"/>
    </row>
    <row r="39" spans="1:11" x14ac:dyDescent="0.2">
      <c r="A39" s="2" t="s">
        <v>9</v>
      </c>
      <c r="B39" s="3" t="b">
        <v>1</v>
      </c>
      <c r="C39" s="3" t="b">
        <v>0</v>
      </c>
      <c r="D39" s="3" t="b">
        <v>0</v>
      </c>
      <c r="E39" s="3" t="b">
        <v>1</v>
      </c>
      <c r="F39" s="3" t="b">
        <v>1</v>
      </c>
      <c r="G39" s="46" t="s">
        <v>20</v>
      </c>
      <c r="H39" s="43"/>
      <c r="I39" s="43"/>
      <c r="J39" s="43"/>
      <c r="K39" s="43"/>
    </row>
    <row r="40" spans="1:11" x14ac:dyDescent="0.2">
      <c r="A40" s="2" t="s">
        <v>9</v>
      </c>
      <c r="B40" s="3" t="b">
        <v>0</v>
      </c>
      <c r="C40" s="3" t="b">
        <v>1</v>
      </c>
      <c r="D40" s="3" t="b">
        <v>0</v>
      </c>
      <c r="E40" s="3" t="b">
        <v>0</v>
      </c>
      <c r="F40" s="3" t="b">
        <v>1</v>
      </c>
      <c r="G40" s="46" t="s">
        <v>21</v>
      </c>
      <c r="H40" s="43"/>
      <c r="I40" s="43"/>
      <c r="J40" s="43"/>
      <c r="K40" s="43"/>
    </row>
    <row r="41" spans="1:11" x14ac:dyDescent="0.2">
      <c r="A41" s="2" t="s">
        <v>9</v>
      </c>
      <c r="B41" s="3" t="b">
        <v>0</v>
      </c>
      <c r="C41" s="3" t="b">
        <v>1</v>
      </c>
      <c r="D41" s="3" t="b">
        <v>0</v>
      </c>
      <c r="E41" s="3" t="b">
        <v>1</v>
      </c>
      <c r="F41" s="3" t="b">
        <v>1</v>
      </c>
      <c r="G41" s="46" t="s">
        <v>22</v>
      </c>
      <c r="H41" s="43"/>
      <c r="I41" s="43"/>
      <c r="J41" s="43"/>
      <c r="K41" s="43"/>
    </row>
    <row r="42" spans="1:11" x14ac:dyDescent="0.2">
      <c r="A42" s="2" t="s">
        <v>9</v>
      </c>
      <c r="B42" s="3" t="b">
        <v>0</v>
      </c>
      <c r="C42" s="3" t="b">
        <v>0</v>
      </c>
      <c r="D42" s="3" t="b">
        <v>0</v>
      </c>
      <c r="E42" s="3" t="b">
        <v>1</v>
      </c>
      <c r="F42" s="3" t="b">
        <v>1</v>
      </c>
      <c r="G42" s="46" t="s">
        <v>23</v>
      </c>
      <c r="H42" s="43"/>
      <c r="I42" s="43"/>
      <c r="J42" s="43"/>
      <c r="K42" s="43"/>
    </row>
    <row r="43" spans="1:11" ht="22" x14ac:dyDescent="0.3">
      <c r="A43" s="36" t="s">
        <v>50</v>
      </c>
    </row>
  </sheetData>
  <mergeCells count="1">
    <mergeCell ref="A3:A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1E9D-CC35-4043-899C-1C8625786E0F}">
  <sheetPr>
    <tabColor rgb="FFFFC000"/>
  </sheetPr>
  <dimension ref="A1:P43"/>
  <sheetViews>
    <sheetView workbookViewId="0">
      <selection activeCell="K20" sqref="K20"/>
    </sheetView>
  </sheetViews>
  <sheetFormatPr baseColWidth="10" defaultColWidth="8.83203125" defaultRowHeight="15" x14ac:dyDescent="0.2"/>
  <cols>
    <col min="1" max="1" width="15.6640625" customWidth="1"/>
    <col min="2" max="6" width="10.1640625" customWidth="1"/>
    <col min="7" max="7" width="15.5" bestFit="1" customWidth="1"/>
    <col min="8" max="8" width="12.83203125" customWidth="1"/>
    <col min="9" max="10" width="15.83203125" bestFit="1" customWidth="1"/>
    <col min="11" max="11" width="16.83203125" bestFit="1" customWidth="1"/>
  </cols>
  <sheetData>
    <row r="1" spans="1:16" x14ac:dyDescent="0.2">
      <c r="A1" s="6" t="s">
        <v>95</v>
      </c>
    </row>
    <row r="3" spans="1:16" ht="14.5" customHeight="1" x14ac:dyDescent="0.2">
      <c r="A3" s="337" t="s">
        <v>37</v>
      </c>
      <c r="B3" s="5" t="s">
        <v>2</v>
      </c>
      <c r="C3" s="5" t="s">
        <v>3</v>
      </c>
      <c r="D3" s="5" t="s">
        <v>34</v>
      </c>
      <c r="E3" s="5" t="s">
        <v>35</v>
      </c>
      <c r="F3" s="42" t="s">
        <v>6</v>
      </c>
      <c r="J3" s="2" t="s">
        <v>29</v>
      </c>
      <c r="K3" s="2" t="s">
        <v>57</v>
      </c>
    </row>
    <row r="4" spans="1:16" x14ac:dyDescent="0.2">
      <c r="A4" s="337"/>
      <c r="B4" s="23">
        <f>+'COLLECTION PRICE'!C40</f>
        <v>1090</v>
      </c>
      <c r="C4" s="23">
        <f>+'COLLECTION PRICE'!D40</f>
        <v>1290</v>
      </c>
      <c r="D4" s="23">
        <f>+'COLLECTION PRICE'!E40</f>
        <v>1390</v>
      </c>
      <c r="E4" s="23">
        <f>+'COLLECTION PRICE'!F40</f>
        <v>1590</v>
      </c>
      <c r="F4" s="43"/>
      <c r="G4" s="6" t="s">
        <v>51</v>
      </c>
      <c r="J4" s="2" t="s">
        <v>14</v>
      </c>
      <c r="K4" s="2" t="s">
        <v>58</v>
      </c>
    </row>
    <row r="5" spans="1:16" x14ac:dyDescent="0.2">
      <c r="A5" s="337"/>
      <c r="B5" s="28">
        <f>+'STORAGE PRICE'!C44</f>
        <v>65.015012999999982</v>
      </c>
      <c r="C5" s="28">
        <f>+'STORAGE PRICE'!D44</f>
        <v>86.686684</v>
      </c>
      <c r="D5" s="28">
        <f>+'STORAGE PRICE'!E44</f>
        <v>86.686684</v>
      </c>
      <c r="E5" s="28">
        <f>+'STORAGE PRICE'!F44</f>
        <v>92.104601749999986</v>
      </c>
      <c r="F5" s="43"/>
      <c r="G5" s="6" t="s">
        <v>52</v>
      </c>
      <c r="J5" s="2" t="s">
        <v>15</v>
      </c>
      <c r="K5" s="2" t="s">
        <v>59</v>
      </c>
    </row>
    <row r="6" spans="1:16" x14ac:dyDescent="0.2">
      <c r="A6" s="337"/>
      <c r="B6" s="28">
        <f>+'STORAGE PRICE'!C45</f>
        <v>541.79177499999992</v>
      </c>
      <c r="C6" s="28">
        <f>+'STORAGE PRICE'!D45</f>
        <v>639.31429449999996</v>
      </c>
      <c r="D6" s="28">
        <f>+'STORAGE PRICE'!E45</f>
        <v>726.00097849999986</v>
      </c>
      <c r="E6" s="28">
        <f>+'STORAGE PRICE'!F45</f>
        <v>758.50848499999995</v>
      </c>
      <c r="F6" s="43"/>
      <c r="G6" s="6" t="s">
        <v>54</v>
      </c>
      <c r="J6" s="2" t="s">
        <v>16</v>
      </c>
      <c r="K6" s="2" t="s">
        <v>59</v>
      </c>
      <c r="M6" s="40"/>
      <c r="N6" s="40"/>
      <c r="O6" s="40"/>
      <c r="P6" s="40"/>
    </row>
    <row r="7" spans="1:16" x14ac:dyDescent="0.2">
      <c r="A7" s="337"/>
      <c r="B7" s="28">
        <f>+'STORAGE PRICE'!C46</f>
        <v>975.22519499999987</v>
      </c>
      <c r="C7" s="28">
        <f>+'STORAGE PRICE'!D46</f>
        <v>1083.5835499999998</v>
      </c>
      <c r="D7" s="28">
        <f>+'STORAGE PRICE'!E46</f>
        <v>1191.9419049999999</v>
      </c>
      <c r="E7" s="28">
        <f>+'STORAGE PRICE'!F46</f>
        <v>1300.3002599999998</v>
      </c>
      <c r="F7" s="43"/>
      <c r="G7" s="6" t="s">
        <v>55</v>
      </c>
      <c r="J7" s="2" t="s">
        <v>1</v>
      </c>
      <c r="K7" s="2" t="s">
        <v>60</v>
      </c>
      <c r="M7" s="40"/>
      <c r="N7" s="40"/>
      <c r="O7" s="40"/>
      <c r="P7" s="40"/>
    </row>
    <row r="9" spans="1:16" x14ac:dyDescent="0.2">
      <c r="A9" s="6" t="s">
        <v>25</v>
      </c>
    </row>
    <row r="10" spans="1:16" ht="14.5" customHeight="1" x14ac:dyDescent="0.2">
      <c r="A10" s="24" t="s">
        <v>12</v>
      </c>
      <c r="B10" s="25" t="s">
        <v>29</v>
      </c>
      <c r="C10" s="25" t="s">
        <v>14</v>
      </c>
      <c r="D10" s="25" t="s">
        <v>15</v>
      </c>
      <c r="E10" s="25" t="s">
        <v>16</v>
      </c>
      <c r="F10" s="25" t="s">
        <v>1</v>
      </c>
      <c r="G10" s="20"/>
      <c r="H10" s="20" t="s">
        <v>27</v>
      </c>
      <c r="I10" s="20"/>
      <c r="J10" s="380" t="s">
        <v>69</v>
      </c>
      <c r="K10" s="380" t="s">
        <v>69</v>
      </c>
      <c r="L10" s="39" t="s">
        <v>70</v>
      </c>
    </row>
    <row r="11" spans="1:16" x14ac:dyDescent="0.2">
      <c r="A11" s="24" t="s">
        <v>32</v>
      </c>
      <c r="B11" s="226">
        <f>+B4</f>
        <v>1090</v>
      </c>
      <c r="C11" s="226">
        <f>+C4-B4</f>
        <v>200</v>
      </c>
      <c r="D11" s="226">
        <f>+D4-B4</f>
        <v>300</v>
      </c>
      <c r="E11" s="226">
        <f>+E4-C4</f>
        <v>300</v>
      </c>
      <c r="F11" s="226">
        <f>+F4-E4</f>
        <v>-1590</v>
      </c>
      <c r="G11" s="20" t="s">
        <v>12</v>
      </c>
      <c r="H11" s="20" t="s">
        <v>10</v>
      </c>
      <c r="I11" s="20"/>
      <c r="J11" s="381"/>
      <c r="K11" s="381"/>
    </row>
    <row r="12" spans="1:16" ht="16" thickBot="1" x14ac:dyDescent="0.25">
      <c r="A12" s="29" t="s">
        <v>33</v>
      </c>
      <c r="B12" s="231">
        <f>+B5</f>
        <v>65.015012999999982</v>
      </c>
      <c r="C12" s="231">
        <f>+C5-B5</f>
        <v>21.671671000000018</v>
      </c>
      <c r="D12" s="231">
        <f>+D5-B12</f>
        <v>21.671671000000018</v>
      </c>
      <c r="E12" s="231">
        <f>+E5-C5</f>
        <v>5.4179177499999867</v>
      </c>
      <c r="F12" s="47">
        <f>+F5-E5</f>
        <v>-92.104601749999986</v>
      </c>
      <c r="G12" s="30" t="s">
        <v>13</v>
      </c>
      <c r="H12" s="30" t="s">
        <v>30</v>
      </c>
      <c r="I12" s="30" t="s">
        <v>31</v>
      </c>
      <c r="J12" s="30" t="s">
        <v>38</v>
      </c>
      <c r="K12" s="30" t="s">
        <v>39</v>
      </c>
    </row>
    <row r="13" spans="1:16" ht="16" thickTop="1" x14ac:dyDescent="0.2">
      <c r="A13" s="31" t="s">
        <v>24</v>
      </c>
      <c r="B13" s="32" t="b">
        <v>0</v>
      </c>
      <c r="C13" s="32" t="b">
        <v>0</v>
      </c>
      <c r="D13" s="32" t="b">
        <v>0</v>
      </c>
      <c r="E13" s="32" t="b">
        <v>0</v>
      </c>
      <c r="F13" s="32" t="b">
        <v>0</v>
      </c>
      <c r="G13" s="33" t="s">
        <v>11</v>
      </c>
      <c r="H13" s="34">
        <v>1</v>
      </c>
      <c r="I13" s="33"/>
      <c r="J13" s="33"/>
      <c r="K13" s="33"/>
      <c r="L13" s="39" t="s">
        <v>137</v>
      </c>
    </row>
    <row r="14" spans="1:16" x14ac:dyDescent="0.2">
      <c r="A14" s="18" t="s">
        <v>2</v>
      </c>
      <c r="B14" s="19" t="b">
        <v>1</v>
      </c>
      <c r="C14" s="19" t="b">
        <v>0</v>
      </c>
      <c r="D14" s="19" t="b">
        <v>0</v>
      </c>
      <c r="E14" s="19" t="b">
        <v>0</v>
      </c>
      <c r="F14" s="19" t="b">
        <v>0</v>
      </c>
      <c r="G14" s="18" t="s">
        <v>2</v>
      </c>
      <c r="H14" s="22">
        <f>+B4</f>
        <v>1090</v>
      </c>
      <c r="I14" s="27">
        <f>+B5</f>
        <v>65.015012999999982</v>
      </c>
      <c r="J14" s="27">
        <f>+B6</f>
        <v>541.79177499999992</v>
      </c>
      <c r="K14" s="27">
        <f>+B7</f>
        <v>975.22519499999987</v>
      </c>
      <c r="P14" s="26"/>
    </row>
    <row r="15" spans="1:16" x14ac:dyDescent="0.2">
      <c r="A15" s="18" t="s">
        <v>3</v>
      </c>
      <c r="B15" s="19" t="b">
        <v>1</v>
      </c>
      <c r="C15" s="19" t="b">
        <v>1</v>
      </c>
      <c r="D15" s="19" t="b">
        <v>0</v>
      </c>
      <c r="E15" s="19" t="b">
        <v>0</v>
      </c>
      <c r="F15" s="19" t="b">
        <v>0</v>
      </c>
      <c r="G15" s="18" t="s">
        <v>3</v>
      </c>
      <c r="H15" s="22">
        <f>+C4</f>
        <v>1290</v>
      </c>
      <c r="I15" s="27">
        <f>+C5</f>
        <v>86.686684</v>
      </c>
      <c r="J15" s="27">
        <f>+C6</f>
        <v>639.31429449999996</v>
      </c>
      <c r="K15" s="27">
        <f>+C7</f>
        <v>1083.5835499999998</v>
      </c>
    </row>
    <row r="16" spans="1:16" x14ac:dyDescent="0.2">
      <c r="A16" s="2" t="s">
        <v>3</v>
      </c>
      <c r="B16" s="3" t="b">
        <v>1</v>
      </c>
      <c r="C16" s="3" t="b">
        <v>0</v>
      </c>
      <c r="D16" s="3" t="b">
        <v>0</v>
      </c>
      <c r="E16" s="3" t="b">
        <v>0</v>
      </c>
      <c r="F16" s="3" t="b">
        <v>0</v>
      </c>
      <c r="G16" s="11" t="s">
        <v>96</v>
      </c>
      <c r="H16" s="21">
        <f>+$B$11</f>
        <v>1090</v>
      </c>
      <c r="I16" s="227">
        <f>+$B$12</f>
        <v>65.015012999999982</v>
      </c>
      <c r="J16" s="227">
        <f>+$J$14</f>
        <v>541.79177499999992</v>
      </c>
      <c r="K16" s="227">
        <f>+$K$14</f>
        <v>975.22519499999987</v>
      </c>
    </row>
    <row r="17" spans="1:16" x14ac:dyDescent="0.2">
      <c r="A17" s="2" t="s">
        <v>3</v>
      </c>
      <c r="B17" s="3" t="b">
        <v>0</v>
      </c>
      <c r="C17" s="3" t="b">
        <v>1</v>
      </c>
      <c r="D17" s="3" t="b">
        <v>0</v>
      </c>
      <c r="E17" s="3" t="b">
        <v>0</v>
      </c>
      <c r="F17" s="3" t="b">
        <v>0</v>
      </c>
      <c r="G17" s="11" t="s">
        <v>14</v>
      </c>
      <c r="H17" s="21">
        <f>+$C$11</f>
        <v>200</v>
      </c>
      <c r="I17" s="227">
        <f>+$C$12</f>
        <v>21.671671000000018</v>
      </c>
      <c r="J17" s="227">
        <f t="shared" ref="J17" si="0">+I17*10*85%</f>
        <v>184.20920350000014</v>
      </c>
      <c r="K17" s="227">
        <f t="shared" ref="K17" si="1">+I17*20*75%</f>
        <v>325.07506500000028</v>
      </c>
    </row>
    <row r="18" spans="1:16" x14ac:dyDescent="0.2">
      <c r="A18" s="18" t="s">
        <v>7</v>
      </c>
      <c r="B18" s="19" t="b">
        <v>1</v>
      </c>
      <c r="C18" s="19" t="b">
        <v>0</v>
      </c>
      <c r="D18" s="19" t="b">
        <v>1</v>
      </c>
      <c r="E18" s="19" t="b">
        <v>0</v>
      </c>
      <c r="F18" s="19" t="b">
        <v>0</v>
      </c>
      <c r="G18" s="18" t="s">
        <v>7</v>
      </c>
      <c r="H18" s="22">
        <f>+D4</f>
        <v>1390</v>
      </c>
      <c r="I18" s="27">
        <f>+D5</f>
        <v>86.686684</v>
      </c>
      <c r="J18" s="27">
        <f>+D6</f>
        <v>726.00097849999986</v>
      </c>
      <c r="K18" s="27">
        <f>+D7</f>
        <v>1191.9419049999999</v>
      </c>
    </row>
    <row r="19" spans="1:16" x14ac:dyDescent="0.2">
      <c r="A19" s="2" t="s">
        <v>7</v>
      </c>
      <c r="B19" s="3" t="b">
        <v>1</v>
      </c>
      <c r="C19" s="3" t="b">
        <v>0</v>
      </c>
      <c r="D19" s="3" t="b">
        <v>0</v>
      </c>
      <c r="E19" s="3" t="b">
        <v>0</v>
      </c>
      <c r="F19" s="3" t="b">
        <v>0</v>
      </c>
      <c r="G19" s="11" t="s">
        <v>96</v>
      </c>
      <c r="H19" s="21">
        <f>+$B$11</f>
        <v>1090</v>
      </c>
      <c r="I19" s="227">
        <f>+$B$12</f>
        <v>65.015012999999982</v>
      </c>
      <c r="J19" s="227">
        <f>+$J$14</f>
        <v>541.79177499999992</v>
      </c>
      <c r="K19" s="227">
        <f>+$K$14</f>
        <v>975.22519499999987</v>
      </c>
    </row>
    <row r="20" spans="1:16" x14ac:dyDescent="0.2">
      <c r="A20" s="2" t="s">
        <v>7</v>
      </c>
      <c r="B20" s="3" t="b">
        <v>0</v>
      </c>
      <c r="C20" s="3" t="b">
        <v>0</v>
      </c>
      <c r="D20" s="3" t="b">
        <v>1</v>
      </c>
      <c r="E20" s="3" t="b">
        <v>0</v>
      </c>
      <c r="F20" s="3" t="b">
        <v>0</v>
      </c>
      <c r="G20" s="11" t="s">
        <v>15</v>
      </c>
      <c r="H20" s="21">
        <f>+$D$11</f>
        <v>300</v>
      </c>
      <c r="I20" s="227">
        <f>+$D$12</f>
        <v>21.671671000000018</v>
      </c>
      <c r="J20" s="227">
        <f t="shared" ref="J20" si="2">+I20*10*85%</f>
        <v>184.20920350000014</v>
      </c>
      <c r="K20" s="227">
        <f t="shared" ref="K20" si="3">+I20*20*75%</f>
        <v>325.07506500000028</v>
      </c>
      <c r="P20" s="38"/>
    </row>
    <row r="21" spans="1:16" x14ac:dyDescent="0.2">
      <c r="A21" s="18" t="s">
        <v>8</v>
      </c>
      <c r="B21" s="19" t="b">
        <v>1</v>
      </c>
      <c r="C21" s="19" t="b">
        <v>1</v>
      </c>
      <c r="D21" s="19" t="b">
        <v>1</v>
      </c>
      <c r="E21" s="19" t="b">
        <v>0</v>
      </c>
      <c r="F21" s="19" t="b">
        <v>0</v>
      </c>
      <c r="G21" s="18" t="s">
        <v>8</v>
      </c>
      <c r="H21" s="22">
        <f>+E4</f>
        <v>1590</v>
      </c>
      <c r="I21" s="27">
        <f>+E5</f>
        <v>92.104601749999986</v>
      </c>
      <c r="J21" s="27">
        <f>+E6</f>
        <v>758.50848499999995</v>
      </c>
      <c r="K21" s="27">
        <f>+E7</f>
        <v>1300.3002599999998</v>
      </c>
    </row>
    <row r="22" spans="1:16" x14ac:dyDescent="0.2">
      <c r="A22" s="2" t="s">
        <v>8</v>
      </c>
      <c r="B22" s="3" t="b">
        <v>1</v>
      </c>
      <c r="C22" s="3" t="b">
        <v>0</v>
      </c>
      <c r="D22" s="3" t="b">
        <v>0</v>
      </c>
      <c r="E22" s="3" t="b">
        <v>0</v>
      </c>
      <c r="F22" s="3" t="b">
        <v>0</v>
      </c>
      <c r="G22" s="11" t="s">
        <v>96</v>
      </c>
      <c r="H22" s="21">
        <f>+$B$11</f>
        <v>1090</v>
      </c>
      <c r="I22" s="227">
        <f>+$B$12</f>
        <v>65.015012999999982</v>
      </c>
      <c r="J22" s="227">
        <f>+$J$14</f>
        <v>541.79177499999992</v>
      </c>
      <c r="K22" s="227">
        <f>+$K$14</f>
        <v>975.22519499999987</v>
      </c>
    </row>
    <row r="23" spans="1:16" x14ac:dyDescent="0.2">
      <c r="A23" s="2" t="s">
        <v>8</v>
      </c>
      <c r="B23" s="3" t="b">
        <v>1</v>
      </c>
      <c r="C23" s="3" t="b">
        <v>1</v>
      </c>
      <c r="D23" s="3" t="b">
        <v>0</v>
      </c>
      <c r="E23" s="3" t="b">
        <v>0</v>
      </c>
      <c r="F23" s="3" t="b">
        <v>0</v>
      </c>
      <c r="G23" s="11" t="s">
        <v>97</v>
      </c>
      <c r="H23" s="21">
        <f>+$B$11+$C$11</f>
        <v>1290</v>
      </c>
      <c r="I23" s="227">
        <f>+$B$12+$C$12</f>
        <v>86.686684</v>
      </c>
      <c r="J23" s="227">
        <f>+$J$15</f>
        <v>639.31429449999996</v>
      </c>
      <c r="K23" s="227">
        <f>+$K$15</f>
        <v>1083.5835499999998</v>
      </c>
    </row>
    <row r="24" spans="1:16" x14ac:dyDescent="0.2">
      <c r="A24" s="2" t="s">
        <v>8</v>
      </c>
      <c r="B24" s="3" t="b">
        <v>1</v>
      </c>
      <c r="C24" s="3" t="b">
        <v>0</v>
      </c>
      <c r="D24" s="3" t="b">
        <v>1</v>
      </c>
      <c r="E24" s="3" t="b">
        <v>0</v>
      </c>
      <c r="F24" s="3" t="b">
        <v>0</v>
      </c>
      <c r="G24" s="11" t="s">
        <v>98</v>
      </c>
      <c r="H24" s="21">
        <f>+$B$11+$D$11</f>
        <v>1390</v>
      </c>
      <c r="I24" s="227">
        <f>+$B$12+$D$12</f>
        <v>86.686684</v>
      </c>
      <c r="J24" s="227">
        <f>+$J$18</f>
        <v>726.00097849999986</v>
      </c>
      <c r="K24" s="227">
        <f>+$K$18</f>
        <v>1191.9419049999999</v>
      </c>
    </row>
    <row r="25" spans="1:16" x14ac:dyDescent="0.2">
      <c r="A25" s="2" t="s">
        <v>8</v>
      </c>
      <c r="B25" s="3" t="b">
        <v>0</v>
      </c>
      <c r="C25" s="3" t="b">
        <v>1</v>
      </c>
      <c r="D25" s="3" t="b">
        <v>0</v>
      </c>
      <c r="E25" s="3" t="b">
        <v>0</v>
      </c>
      <c r="F25" s="3" t="b">
        <v>0</v>
      </c>
      <c r="G25" s="11" t="s">
        <v>14</v>
      </c>
      <c r="H25" s="21">
        <f>+$C$11</f>
        <v>200</v>
      </c>
      <c r="I25" s="227">
        <f>+$C$12</f>
        <v>21.671671000000018</v>
      </c>
      <c r="J25" s="227">
        <f t="shared" ref="J25" si="4">+I25*10*85%</f>
        <v>184.20920350000014</v>
      </c>
      <c r="K25" s="227">
        <f t="shared" ref="K25" si="5">+I25*20*75%</f>
        <v>325.07506500000028</v>
      </c>
    </row>
    <row r="26" spans="1:16" x14ac:dyDescent="0.2">
      <c r="A26" s="2" t="s">
        <v>8</v>
      </c>
      <c r="B26" s="3" t="b">
        <v>0</v>
      </c>
      <c r="C26" s="3" t="b">
        <v>1</v>
      </c>
      <c r="D26" s="3" t="b">
        <v>0</v>
      </c>
      <c r="E26" s="3" t="b">
        <v>1</v>
      </c>
      <c r="F26" s="3" t="b">
        <v>0</v>
      </c>
      <c r="G26" s="11" t="s">
        <v>17</v>
      </c>
      <c r="H26" s="21">
        <f>+$C$11+$E$11</f>
        <v>500</v>
      </c>
      <c r="I26" s="227">
        <f>+$C$12+$E$12</f>
        <v>27.089588750000004</v>
      </c>
      <c r="J26" s="227">
        <f t="shared" ref="J26" si="6">+I26*10*85%</f>
        <v>230.26150437500004</v>
      </c>
      <c r="K26" s="227">
        <f t="shared" ref="K26" si="7">+I26*20*75%</f>
        <v>406.34383125000011</v>
      </c>
    </row>
    <row r="27" spans="1:16" x14ac:dyDescent="0.2">
      <c r="A27" s="2" t="s">
        <v>8</v>
      </c>
      <c r="B27" s="3" t="b">
        <v>0</v>
      </c>
      <c r="C27" s="3" t="b">
        <v>0</v>
      </c>
      <c r="D27" s="3" t="b">
        <v>0</v>
      </c>
      <c r="E27" s="3" t="b">
        <v>1</v>
      </c>
      <c r="F27" s="3" t="b">
        <v>0</v>
      </c>
      <c r="G27" s="11" t="s">
        <v>16</v>
      </c>
      <c r="H27" s="21">
        <f>+$E$11</f>
        <v>300</v>
      </c>
      <c r="I27" s="227">
        <f>+$E$12</f>
        <v>5.4179177499999867</v>
      </c>
      <c r="J27" s="227">
        <f>+$J$20</f>
        <v>184.20920350000014</v>
      </c>
      <c r="K27" s="227">
        <f>+$K$20</f>
        <v>325.07506500000028</v>
      </c>
    </row>
    <row r="28" spans="1:16" x14ac:dyDescent="0.2">
      <c r="A28" s="18" t="s">
        <v>9</v>
      </c>
      <c r="B28" s="19" t="b">
        <v>1</v>
      </c>
      <c r="C28" s="19" t="b">
        <v>1</v>
      </c>
      <c r="D28" s="19" t="b">
        <v>0</v>
      </c>
      <c r="E28" s="19" t="b">
        <v>1</v>
      </c>
      <c r="F28" s="19" t="b">
        <v>1</v>
      </c>
      <c r="G28" s="44" t="s">
        <v>6</v>
      </c>
      <c r="H28" s="45">
        <f>+F4</f>
        <v>0</v>
      </c>
      <c r="I28" s="45">
        <f>+F5</f>
        <v>0</v>
      </c>
      <c r="J28" s="45">
        <f>+F6</f>
        <v>0</v>
      </c>
      <c r="K28" s="45">
        <f>+F7</f>
        <v>0</v>
      </c>
    </row>
    <row r="29" spans="1:16" x14ac:dyDescent="0.2">
      <c r="A29" s="2" t="s">
        <v>9</v>
      </c>
      <c r="B29" s="3" t="b">
        <v>1</v>
      </c>
      <c r="C29" s="3" t="b">
        <v>0</v>
      </c>
      <c r="D29" s="3" t="b">
        <v>0</v>
      </c>
      <c r="E29" s="3" t="b">
        <v>0</v>
      </c>
      <c r="F29" s="3" t="b">
        <v>0</v>
      </c>
      <c r="G29" s="46" t="s">
        <v>2</v>
      </c>
      <c r="H29" s="43"/>
      <c r="I29" s="43"/>
      <c r="J29" s="43"/>
      <c r="K29" s="43"/>
    </row>
    <row r="30" spans="1:16" x14ac:dyDescent="0.2">
      <c r="A30" s="2" t="s">
        <v>9</v>
      </c>
      <c r="B30" s="3" t="b">
        <v>1</v>
      </c>
      <c r="C30" s="3" t="b">
        <v>1</v>
      </c>
      <c r="D30" s="3" t="b">
        <v>0</v>
      </c>
      <c r="E30" s="3" t="b">
        <v>0</v>
      </c>
      <c r="F30" s="3" t="b">
        <v>0</v>
      </c>
      <c r="G30" s="46" t="s">
        <v>3</v>
      </c>
      <c r="H30" s="43"/>
      <c r="I30" s="43"/>
      <c r="J30" s="43"/>
      <c r="K30" s="43"/>
    </row>
    <row r="31" spans="1:16" x14ac:dyDescent="0.2">
      <c r="A31" s="2" t="s">
        <v>9</v>
      </c>
      <c r="B31" s="3" t="b">
        <v>1</v>
      </c>
      <c r="C31" s="3" t="b">
        <v>1</v>
      </c>
      <c r="D31" s="3" t="b">
        <v>0</v>
      </c>
      <c r="E31" s="3" t="b">
        <v>1</v>
      </c>
      <c r="F31" s="3" t="b">
        <v>0</v>
      </c>
      <c r="G31" s="46" t="s">
        <v>8</v>
      </c>
      <c r="H31" s="43"/>
      <c r="I31" s="43"/>
      <c r="J31" s="43"/>
      <c r="K31" s="43"/>
    </row>
    <row r="32" spans="1:16" x14ac:dyDescent="0.2">
      <c r="A32" s="2" t="s">
        <v>9</v>
      </c>
      <c r="B32" s="3" t="b">
        <v>1</v>
      </c>
      <c r="C32" s="3" t="b">
        <v>0</v>
      </c>
      <c r="D32" s="3" t="b">
        <v>1</v>
      </c>
      <c r="E32" s="3" t="b">
        <v>0</v>
      </c>
      <c r="F32" s="3" t="b">
        <v>0</v>
      </c>
      <c r="G32" s="46" t="s">
        <v>7</v>
      </c>
      <c r="H32" s="43"/>
      <c r="I32" s="43"/>
      <c r="J32" s="43"/>
      <c r="K32" s="43"/>
    </row>
    <row r="33" spans="1:11" x14ac:dyDescent="0.2">
      <c r="A33" s="2" t="s">
        <v>9</v>
      </c>
      <c r="B33" s="3" t="b">
        <v>0</v>
      </c>
      <c r="C33" s="3" t="b">
        <v>1</v>
      </c>
      <c r="D33" s="3" t="b">
        <v>0</v>
      </c>
      <c r="E33" s="3" t="b">
        <v>0</v>
      </c>
      <c r="F33" s="3" t="b">
        <v>0</v>
      </c>
      <c r="G33" s="46" t="s">
        <v>14</v>
      </c>
      <c r="H33" s="43"/>
      <c r="I33" s="43"/>
      <c r="J33" s="43"/>
      <c r="K33" s="43"/>
    </row>
    <row r="34" spans="1:11" x14ac:dyDescent="0.2">
      <c r="A34" s="2" t="s">
        <v>9</v>
      </c>
      <c r="B34" s="3" t="b">
        <v>0</v>
      </c>
      <c r="C34" s="3" t="b">
        <v>1</v>
      </c>
      <c r="D34" s="3" t="b">
        <v>0</v>
      </c>
      <c r="E34" s="3" t="b">
        <v>1</v>
      </c>
      <c r="F34" s="3" t="b">
        <v>0</v>
      </c>
      <c r="G34" s="46" t="s">
        <v>17</v>
      </c>
      <c r="H34" s="43"/>
      <c r="I34" s="43"/>
      <c r="J34" s="43"/>
      <c r="K34" s="43"/>
    </row>
    <row r="35" spans="1:11" x14ac:dyDescent="0.2">
      <c r="A35" s="2" t="s">
        <v>9</v>
      </c>
      <c r="B35" s="3" t="b">
        <v>0</v>
      </c>
      <c r="C35" s="3" t="b">
        <v>0</v>
      </c>
      <c r="D35" s="3" t="b">
        <v>0</v>
      </c>
      <c r="E35" s="3" t="b">
        <v>1</v>
      </c>
      <c r="F35" s="3" t="b">
        <v>0</v>
      </c>
      <c r="G35" s="46" t="s">
        <v>16</v>
      </c>
      <c r="H35" s="43"/>
      <c r="I35" s="43"/>
      <c r="J35" s="43"/>
      <c r="K35" s="43"/>
    </row>
    <row r="36" spans="1:11" x14ac:dyDescent="0.2">
      <c r="A36" s="2" t="s">
        <v>9</v>
      </c>
      <c r="B36" s="3" t="b">
        <v>0</v>
      </c>
      <c r="C36" s="3" t="b">
        <v>0</v>
      </c>
      <c r="D36" s="3" t="b">
        <v>0</v>
      </c>
      <c r="E36" s="3" t="b">
        <v>0</v>
      </c>
      <c r="F36" s="3" t="b">
        <v>1</v>
      </c>
      <c r="G36" s="46" t="s">
        <v>1</v>
      </c>
      <c r="H36" s="43"/>
      <c r="I36" s="43"/>
      <c r="J36" s="43"/>
      <c r="K36" s="43"/>
    </row>
    <row r="37" spans="1:11" x14ac:dyDescent="0.2">
      <c r="A37" s="2" t="s">
        <v>9</v>
      </c>
      <c r="B37" s="3" t="b">
        <v>1</v>
      </c>
      <c r="C37" s="3" t="b">
        <v>0</v>
      </c>
      <c r="D37" s="3" t="b">
        <v>0</v>
      </c>
      <c r="E37" s="3" t="b">
        <v>0</v>
      </c>
      <c r="F37" s="3" t="b">
        <v>1</v>
      </c>
      <c r="G37" s="46" t="s">
        <v>18</v>
      </c>
      <c r="H37" s="43"/>
      <c r="I37" s="43"/>
      <c r="J37" s="43"/>
      <c r="K37" s="43"/>
    </row>
    <row r="38" spans="1:11" x14ac:dyDescent="0.2">
      <c r="A38" s="2" t="s">
        <v>9</v>
      </c>
      <c r="B38" s="3" t="b">
        <v>1</v>
      </c>
      <c r="C38" s="3" t="b">
        <v>1</v>
      </c>
      <c r="D38" s="3" t="b">
        <v>0</v>
      </c>
      <c r="E38" s="3" t="b">
        <v>0</v>
      </c>
      <c r="F38" s="3" t="b">
        <v>1</v>
      </c>
      <c r="G38" s="46" t="s">
        <v>19</v>
      </c>
      <c r="H38" s="43"/>
      <c r="I38" s="43"/>
      <c r="J38" s="43"/>
      <c r="K38" s="43"/>
    </row>
    <row r="39" spans="1:11" x14ac:dyDescent="0.2">
      <c r="A39" s="2" t="s">
        <v>9</v>
      </c>
      <c r="B39" s="3" t="b">
        <v>1</v>
      </c>
      <c r="C39" s="3" t="b">
        <v>0</v>
      </c>
      <c r="D39" s="3" t="b">
        <v>0</v>
      </c>
      <c r="E39" s="3" t="b">
        <v>1</v>
      </c>
      <c r="F39" s="3" t="b">
        <v>1</v>
      </c>
      <c r="G39" s="46" t="s">
        <v>20</v>
      </c>
      <c r="H39" s="43"/>
      <c r="I39" s="43"/>
      <c r="J39" s="43"/>
      <c r="K39" s="43"/>
    </row>
    <row r="40" spans="1:11" x14ac:dyDescent="0.2">
      <c r="A40" s="2" t="s">
        <v>9</v>
      </c>
      <c r="B40" s="3" t="b">
        <v>0</v>
      </c>
      <c r="C40" s="3" t="b">
        <v>1</v>
      </c>
      <c r="D40" s="3" t="b">
        <v>0</v>
      </c>
      <c r="E40" s="3" t="b">
        <v>0</v>
      </c>
      <c r="F40" s="3" t="b">
        <v>1</v>
      </c>
      <c r="G40" s="46" t="s">
        <v>21</v>
      </c>
      <c r="H40" s="43"/>
      <c r="I40" s="43"/>
      <c r="J40" s="43"/>
      <c r="K40" s="43"/>
    </row>
    <row r="41" spans="1:11" x14ac:dyDescent="0.2">
      <c r="A41" s="2" t="s">
        <v>9</v>
      </c>
      <c r="B41" s="3" t="b">
        <v>0</v>
      </c>
      <c r="C41" s="3" t="b">
        <v>1</v>
      </c>
      <c r="D41" s="3" t="b">
        <v>0</v>
      </c>
      <c r="E41" s="3" t="b">
        <v>1</v>
      </c>
      <c r="F41" s="3" t="b">
        <v>1</v>
      </c>
      <c r="G41" s="46" t="s">
        <v>22</v>
      </c>
      <c r="H41" s="43"/>
      <c r="I41" s="43"/>
      <c r="J41" s="43"/>
      <c r="K41" s="43"/>
    </row>
    <row r="42" spans="1:11" x14ac:dyDescent="0.2">
      <c r="A42" s="2" t="s">
        <v>9</v>
      </c>
      <c r="B42" s="3" t="b">
        <v>0</v>
      </c>
      <c r="C42" s="3" t="b">
        <v>0</v>
      </c>
      <c r="D42" s="3" t="b">
        <v>0</v>
      </c>
      <c r="E42" s="3" t="b">
        <v>1</v>
      </c>
      <c r="F42" s="3" t="b">
        <v>1</v>
      </c>
      <c r="G42" s="46" t="s">
        <v>23</v>
      </c>
      <c r="H42" s="43"/>
      <c r="I42" s="43"/>
      <c r="J42" s="43"/>
      <c r="K42" s="43"/>
    </row>
    <row r="43" spans="1:11" ht="22" x14ac:dyDescent="0.3">
      <c r="A43" s="36" t="s">
        <v>50</v>
      </c>
    </row>
  </sheetData>
  <mergeCells count="3">
    <mergeCell ref="A3:A7"/>
    <mergeCell ref="J10:J11"/>
    <mergeCell ref="K10:K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E4B61-5501-47EA-9288-32F3C5FA8644}">
  <sheetPr>
    <tabColor rgb="FFFFFF00"/>
  </sheetPr>
  <dimension ref="A2:BB3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M6" sqref="AM6"/>
    </sheetView>
  </sheetViews>
  <sheetFormatPr baseColWidth="10" defaultColWidth="8.83203125" defaultRowHeight="15" outlineLevelRow="1" x14ac:dyDescent="0.2"/>
  <cols>
    <col min="1" max="1" width="42.5" bestFit="1" customWidth="1"/>
    <col min="7" max="7" width="6.6640625" bestFit="1" customWidth="1"/>
    <col min="8" max="10" width="6.6640625" customWidth="1"/>
    <col min="17" max="17" width="6.1640625" bestFit="1" customWidth="1"/>
    <col min="18" max="20" width="6.6640625" customWidth="1"/>
    <col min="27" max="27" width="6.1640625" bestFit="1" customWidth="1"/>
    <col min="28" max="30" width="6.1640625" customWidth="1"/>
    <col min="37" max="37" width="7.83203125" bestFit="1" customWidth="1"/>
    <col min="38" max="40" width="7.83203125" customWidth="1"/>
    <col min="47" max="47" width="7.83203125" bestFit="1" customWidth="1"/>
    <col min="54" max="54" width="7.83203125" bestFit="1" customWidth="1"/>
  </cols>
  <sheetData>
    <row r="2" spans="1:54" ht="16" thickBot="1" x14ac:dyDescent="0.25"/>
    <row r="3" spans="1:54" x14ac:dyDescent="0.2">
      <c r="B3" s="382" t="s">
        <v>49</v>
      </c>
      <c r="C3" s="383"/>
      <c r="D3" s="383"/>
      <c r="E3" s="383"/>
      <c r="F3" s="384"/>
      <c r="G3" s="232"/>
      <c r="H3" s="232"/>
      <c r="I3" s="232"/>
      <c r="J3" s="232"/>
      <c r="K3" s="232"/>
      <c r="L3" s="382" t="s">
        <v>81</v>
      </c>
      <c r="M3" s="383"/>
      <c r="N3" s="383"/>
      <c r="O3" s="383"/>
      <c r="P3" s="384"/>
      <c r="Q3" s="232"/>
      <c r="R3" s="232"/>
      <c r="S3" s="232"/>
      <c r="T3" s="232"/>
      <c r="U3" s="232"/>
      <c r="V3" s="382" t="s">
        <v>84</v>
      </c>
      <c r="W3" s="383"/>
      <c r="X3" s="383"/>
      <c r="Y3" s="383"/>
      <c r="Z3" s="384"/>
      <c r="AA3" s="232"/>
      <c r="AB3" s="232"/>
      <c r="AC3" s="232"/>
      <c r="AD3" s="232"/>
      <c r="AE3" s="232"/>
      <c r="AF3" s="382" t="s">
        <v>82</v>
      </c>
      <c r="AG3" s="383"/>
      <c r="AH3" s="383"/>
      <c r="AI3" s="383"/>
      <c r="AJ3" s="384"/>
      <c r="AP3" s="382" t="s">
        <v>85</v>
      </c>
      <c r="AQ3" s="383"/>
      <c r="AR3" s="383"/>
      <c r="AS3" s="383"/>
      <c r="AT3" s="384"/>
      <c r="AW3" s="382" t="s">
        <v>100</v>
      </c>
      <c r="AX3" s="383"/>
      <c r="AY3" s="383"/>
      <c r="AZ3" s="383"/>
      <c r="BA3" s="384"/>
    </row>
    <row r="4" spans="1:54" x14ac:dyDescent="0.2">
      <c r="B4" s="233" t="s">
        <v>2</v>
      </c>
      <c r="C4" s="234" t="s">
        <v>3</v>
      </c>
      <c r="D4" s="234" t="s">
        <v>101</v>
      </c>
      <c r="E4" s="234" t="s">
        <v>93</v>
      </c>
      <c r="F4" s="235" t="s">
        <v>102</v>
      </c>
      <c r="G4" s="232"/>
      <c r="H4" s="279" t="s">
        <v>14</v>
      </c>
      <c r="I4" s="279" t="s">
        <v>125</v>
      </c>
      <c r="J4" s="279" t="s">
        <v>1</v>
      </c>
      <c r="K4" s="232"/>
      <c r="L4" s="233" t="s">
        <v>2</v>
      </c>
      <c r="M4" s="234" t="s">
        <v>3</v>
      </c>
      <c r="N4" s="234" t="s">
        <v>101</v>
      </c>
      <c r="O4" s="234" t="s">
        <v>93</v>
      </c>
      <c r="P4" s="235" t="s">
        <v>102</v>
      </c>
      <c r="Q4" s="234"/>
      <c r="R4" s="279" t="s">
        <v>14</v>
      </c>
      <c r="S4" s="279" t="s">
        <v>125</v>
      </c>
      <c r="T4" s="279" t="s">
        <v>1</v>
      </c>
      <c r="U4" s="234"/>
      <c r="V4" s="233" t="s">
        <v>2</v>
      </c>
      <c r="W4" s="234" t="s">
        <v>3</v>
      </c>
      <c r="X4" s="234" t="s">
        <v>101</v>
      </c>
      <c r="Y4" s="234" t="s">
        <v>93</v>
      </c>
      <c r="Z4" s="235" t="s">
        <v>102</v>
      </c>
      <c r="AA4" s="234"/>
      <c r="AB4" s="279" t="s">
        <v>14</v>
      </c>
      <c r="AC4" s="279" t="s">
        <v>125</v>
      </c>
      <c r="AD4" s="279" t="s">
        <v>1</v>
      </c>
      <c r="AE4" s="234"/>
      <c r="AF4" s="233" t="s">
        <v>2</v>
      </c>
      <c r="AG4" s="234" t="s">
        <v>3</v>
      </c>
      <c r="AH4" s="234" t="s">
        <v>101</v>
      </c>
      <c r="AI4" s="234" t="s">
        <v>93</v>
      </c>
      <c r="AJ4" s="235" t="s">
        <v>102</v>
      </c>
      <c r="AL4" s="279" t="s">
        <v>14</v>
      </c>
      <c r="AM4" s="279" t="s">
        <v>125</v>
      </c>
      <c r="AN4" s="279" t="s">
        <v>1</v>
      </c>
      <c r="AP4" s="233" t="s">
        <v>2</v>
      </c>
      <c r="AQ4" s="234" t="s">
        <v>3</v>
      </c>
      <c r="AR4" s="234" t="s">
        <v>101</v>
      </c>
      <c r="AS4" s="234" t="s">
        <v>93</v>
      </c>
      <c r="AT4" s="235" t="s">
        <v>102</v>
      </c>
      <c r="AW4" s="233" t="s">
        <v>2</v>
      </c>
      <c r="AX4" s="234" t="s">
        <v>3</v>
      </c>
      <c r="AY4" s="234" t="s">
        <v>101</v>
      </c>
      <c r="AZ4" s="234" t="s">
        <v>93</v>
      </c>
      <c r="BA4" s="235" t="s">
        <v>102</v>
      </c>
    </row>
    <row r="5" spans="1:54" s="238" customFormat="1" x14ac:dyDescent="0.2">
      <c r="A5" s="238" t="s">
        <v>103</v>
      </c>
      <c r="B5" s="239">
        <v>1400</v>
      </c>
      <c r="C5" s="240">
        <v>1600</v>
      </c>
      <c r="D5" s="240">
        <v>1800</v>
      </c>
      <c r="E5" s="240">
        <v>2100</v>
      </c>
      <c r="F5" s="241">
        <v>2500</v>
      </c>
      <c r="G5" s="242"/>
      <c r="H5" s="240">
        <f>+SK!H17</f>
        <v>700</v>
      </c>
      <c r="I5" s="240">
        <f>+SK!H20</f>
        <v>900</v>
      </c>
      <c r="J5" s="240">
        <f>+SK!H36</f>
        <v>900</v>
      </c>
      <c r="K5" s="242"/>
      <c r="L5" s="239">
        <v>1400</v>
      </c>
      <c r="M5" s="240">
        <v>1600</v>
      </c>
      <c r="N5" s="240">
        <v>1800</v>
      </c>
      <c r="O5" s="240">
        <v>2100</v>
      </c>
      <c r="P5" s="241">
        <v>2500</v>
      </c>
      <c r="Q5" s="242"/>
      <c r="R5" s="240">
        <f>+RO!H17/5</f>
        <v>700</v>
      </c>
      <c r="S5" s="240">
        <f>+RO!H20/5</f>
        <v>900</v>
      </c>
      <c r="T5" s="240">
        <f>+RO!H36/5</f>
        <v>900</v>
      </c>
      <c r="U5" s="242"/>
      <c r="V5" s="239">
        <v>1400</v>
      </c>
      <c r="W5" s="240">
        <v>1600</v>
      </c>
      <c r="X5" s="240">
        <v>1800</v>
      </c>
      <c r="Y5" s="240">
        <v>2100</v>
      </c>
      <c r="Z5" s="241">
        <v>2500</v>
      </c>
      <c r="AA5" s="242"/>
      <c r="AB5" s="240">
        <f>+CZ!H17/25</f>
        <v>700</v>
      </c>
      <c r="AC5" s="240">
        <f>+CZ!H20/25</f>
        <v>900</v>
      </c>
      <c r="AD5" s="240">
        <f>+CZ!H36/25</f>
        <v>900</v>
      </c>
      <c r="AE5" s="242"/>
      <c r="AF5" s="239">
        <v>1400</v>
      </c>
      <c r="AG5" s="240">
        <v>1600</v>
      </c>
      <c r="AH5" s="240">
        <v>1800</v>
      </c>
      <c r="AI5" s="240">
        <v>2100</v>
      </c>
      <c r="AJ5" s="241"/>
      <c r="AL5" s="240">
        <f>+HU!H17/400</f>
        <v>700</v>
      </c>
      <c r="AM5" s="240">
        <f>+HU!H20/400</f>
        <v>900</v>
      </c>
      <c r="AN5" s="240"/>
      <c r="AP5" s="239">
        <v>1490</v>
      </c>
      <c r="AQ5" s="240">
        <v>1790</v>
      </c>
      <c r="AR5" s="240">
        <v>2190</v>
      </c>
      <c r="AS5" s="240">
        <v>2490</v>
      </c>
      <c r="AT5" s="241"/>
      <c r="AW5" s="239">
        <v>1090</v>
      </c>
      <c r="AX5" s="240">
        <v>1290</v>
      </c>
      <c r="AY5" s="240">
        <v>1390</v>
      </c>
      <c r="AZ5" s="240">
        <v>1590</v>
      </c>
      <c r="BA5" s="241"/>
    </row>
    <row r="6" spans="1:54" s="243" customFormat="1" x14ac:dyDescent="0.2">
      <c r="A6" s="243" t="s">
        <v>104</v>
      </c>
      <c r="B6" s="244">
        <f>+$G$6*(B5)</f>
        <v>-140</v>
      </c>
      <c r="C6" s="245">
        <f>+$G$6*(C5)</f>
        <v>-160</v>
      </c>
      <c r="D6" s="245">
        <f t="shared" ref="D6:E6" si="0">+$G$6*(D5)</f>
        <v>-180</v>
      </c>
      <c r="E6" s="245">
        <f t="shared" si="0"/>
        <v>-210</v>
      </c>
      <c r="F6" s="246">
        <f>-5%*(F5)</f>
        <v>-125</v>
      </c>
      <c r="G6" s="247">
        <v>-0.1</v>
      </c>
      <c r="H6" s="245">
        <v>0</v>
      </c>
      <c r="I6" s="245">
        <v>0</v>
      </c>
      <c r="J6" s="245">
        <v>0</v>
      </c>
      <c r="K6" s="247"/>
      <c r="L6" s="244">
        <f>+$Q$6*(L5)</f>
        <v>-140</v>
      </c>
      <c r="M6" s="245">
        <f>+$Q$6*(M5)</f>
        <v>-160</v>
      </c>
      <c r="N6" s="245">
        <f>+$Q$6*(N5)</f>
        <v>-180</v>
      </c>
      <c r="O6" s="245">
        <f>+$Q$6*(O5)</f>
        <v>-210</v>
      </c>
      <c r="P6" s="246">
        <f>-5%*(P5)</f>
        <v>-125</v>
      </c>
      <c r="Q6" s="247">
        <v>-0.1</v>
      </c>
      <c r="R6" s="245">
        <v>0</v>
      </c>
      <c r="S6" s="245">
        <v>0</v>
      </c>
      <c r="T6" s="245">
        <v>0</v>
      </c>
      <c r="U6" s="247"/>
      <c r="V6" s="244">
        <f>+$AA$6*(V5)</f>
        <v>-140</v>
      </c>
      <c r="W6" s="245">
        <f>+$AA$6*(W5)</f>
        <v>-160</v>
      </c>
      <c r="X6" s="245">
        <f>+$AA$6*(X5)</f>
        <v>-180</v>
      </c>
      <c r="Y6" s="245">
        <f>+$AA$6*(Y5)</f>
        <v>-210</v>
      </c>
      <c r="Z6" s="246">
        <f>-5%*(Z5)</f>
        <v>-125</v>
      </c>
      <c r="AA6" s="247">
        <v>-0.1</v>
      </c>
      <c r="AB6" s="245">
        <v>0</v>
      </c>
      <c r="AC6" s="245">
        <v>0</v>
      </c>
      <c r="AD6" s="245">
        <v>0</v>
      </c>
      <c r="AE6" s="247"/>
      <c r="AF6" s="244">
        <f>+$AK$6*(AF5)</f>
        <v>-140</v>
      </c>
      <c r="AG6" s="245">
        <f>+$AK$6*(AG5)</f>
        <v>-160</v>
      </c>
      <c r="AH6" s="245">
        <f>+$AK$6*(AH5)</f>
        <v>-180</v>
      </c>
      <c r="AI6" s="245">
        <f>+$AK$6*(AI5)</f>
        <v>-210</v>
      </c>
      <c r="AJ6" s="246"/>
      <c r="AK6" s="247">
        <v>-0.1</v>
      </c>
      <c r="AL6" s="245">
        <v>0</v>
      </c>
      <c r="AM6" s="245">
        <v>0</v>
      </c>
      <c r="AN6" s="245"/>
      <c r="AO6" s="247"/>
      <c r="AP6" s="244">
        <f>+$AU$6*(AP5)</f>
        <v>-149</v>
      </c>
      <c r="AQ6" s="245">
        <f>+$AU$6*(AQ5)</f>
        <v>-179</v>
      </c>
      <c r="AR6" s="245">
        <f>+$AU$6*(AR5)</f>
        <v>-219</v>
      </c>
      <c r="AS6" s="245">
        <f>+$AU$6*(AS5)</f>
        <v>-249</v>
      </c>
      <c r="AT6" s="246">
        <f>+$AU$9*(AT5)</f>
        <v>0</v>
      </c>
      <c r="AU6" s="247">
        <v>-0.1</v>
      </c>
      <c r="AV6" s="247"/>
      <c r="AW6" s="244">
        <f>+$BB$6*(AW5)</f>
        <v>-109</v>
      </c>
      <c r="AX6" s="245">
        <f>+$BB$6*(AX5)</f>
        <v>-129</v>
      </c>
      <c r="AY6" s="245">
        <f>+$BB$6*(AY5)</f>
        <v>-139</v>
      </c>
      <c r="AZ6" s="245">
        <f>+$BB$6*(AZ5)</f>
        <v>-159</v>
      </c>
      <c r="BA6" s="246">
        <f>+$BB$9*(BA5)</f>
        <v>0</v>
      </c>
      <c r="BB6" s="247">
        <v>-0.1</v>
      </c>
    </row>
    <row r="7" spans="1:54" s="248" customFormat="1" ht="16" thickBot="1" x14ac:dyDescent="0.25">
      <c r="A7" s="248" t="s">
        <v>105</v>
      </c>
      <c r="B7" s="249">
        <f>SUM(B5:B6)</f>
        <v>1260</v>
      </c>
      <c r="C7" s="250">
        <f t="shared" ref="C7:F7" si="1">SUM(C5:C6)</f>
        <v>1440</v>
      </c>
      <c r="D7" s="250">
        <f t="shared" si="1"/>
        <v>1620</v>
      </c>
      <c r="E7" s="250">
        <f t="shared" si="1"/>
        <v>1890</v>
      </c>
      <c r="F7" s="251">
        <f t="shared" si="1"/>
        <v>2375</v>
      </c>
      <c r="H7" s="250">
        <f t="shared" ref="H7:J7" si="2">SUM(H5:H6)</f>
        <v>700</v>
      </c>
      <c r="I7" s="250">
        <f t="shared" si="2"/>
        <v>900</v>
      </c>
      <c r="J7" s="250">
        <f t="shared" si="2"/>
        <v>900</v>
      </c>
      <c r="L7" s="249">
        <f>SUM(L5:L6)</f>
        <v>1260</v>
      </c>
      <c r="M7" s="250">
        <f t="shared" ref="M7:P7" si="3">SUM(M5:M6)</f>
        <v>1440</v>
      </c>
      <c r="N7" s="250">
        <f t="shared" si="3"/>
        <v>1620</v>
      </c>
      <c r="O7" s="250">
        <f t="shared" si="3"/>
        <v>1890</v>
      </c>
      <c r="P7" s="251">
        <f t="shared" si="3"/>
        <v>2375</v>
      </c>
      <c r="Q7" s="252"/>
      <c r="R7" s="250">
        <f t="shared" ref="R7:T7" si="4">SUM(R5:R6)</f>
        <v>700</v>
      </c>
      <c r="S7" s="250">
        <f t="shared" si="4"/>
        <v>900</v>
      </c>
      <c r="T7" s="250">
        <f t="shared" si="4"/>
        <v>900</v>
      </c>
      <c r="U7" s="252"/>
      <c r="V7" s="249">
        <f>SUM(V5:V6)</f>
        <v>1260</v>
      </c>
      <c r="W7" s="250">
        <f t="shared" ref="W7:Z7" si="5">SUM(W5:W6)</f>
        <v>1440</v>
      </c>
      <c r="X7" s="250">
        <f t="shared" si="5"/>
        <v>1620</v>
      </c>
      <c r="Y7" s="250">
        <f t="shared" si="5"/>
        <v>1890</v>
      </c>
      <c r="Z7" s="251">
        <f t="shared" si="5"/>
        <v>2375</v>
      </c>
      <c r="AA7" s="252"/>
      <c r="AB7" s="250">
        <f t="shared" ref="AB7:AD7" si="6">SUM(AB5:AB6)</f>
        <v>700</v>
      </c>
      <c r="AC7" s="250">
        <f t="shared" si="6"/>
        <v>900</v>
      </c>
      <c r="AD7" s="250">
        <f t="shared" si="6"/>
        <v>900</v>
      </c>
      <c r="AE7" s="252"/>
      <c r="AF7" s="249">
        <f>SUM(AF5:AF6)</f>
        <v>1260</v>
      </c>
      <c r="AG7" s="250">
        <f t="shared" ref="AG7:AJ7" si="7">SUM(AG5:AG6)</f>
        <v>1440</v>
      </c>
      <c r="AH7" s="250">
        <f t="shared" si="7"/>
        <v>1620</v>
      </c>
      <c r="AI7" s="250">
        <f t="shared" si="7"/>
        <v>1890</v>
      </c>
      <c r="AJ7" s="251">
        <f t="shared" si="7"/>
        <v>0</v>
      </c>
      <c r="AL7" s="250">
        <f t="shared" ref="AL7:AN7" si="8">SUM(AL5:AL6)</f>
        <v>700</v>
      </c>
      <c r="AM7" s="250">
        <f t="shared" si="8"/>
        <v>900</v>
      </c>
      <c r="AN7" s="250">
        <f t="shared" si="8"/>
        <v>0</v>
      </c>
      <c r="AP7" s="249">
        <f>SUM(AP5:AP6)</f>
        <v>1341</v>
      </c>
      <c r="AQ7" s="250">
        <f t="shared" ref="AQ7:AT7" si="9">SUM(AQ5:AQ6)</f>
        <v>1611</v>
      </c>
      <c r="AR7" s="250">
        <f t="shared" si="9"/>
        <v>1971</v>
      </c>
      <c r="AS7" s="250">
        <f t="shared" si="9"/>
        <v>2241</v>
      </c>
      <c r="AT7" s="251">
        <f t="shared" si="9"/>
        <v>0</v>
      </c>
      <c r="AW7" s="249">
        <f>SUM(AW5:AW6)</f>
        <v>981</v>
      </c>
      <c r="AX7" s="250">
        <f t="shared" ref="AX7:BA7" si="10">SUM(AX5:AX6)</f>
        <v>1161</v>
      </c>
      <c r="AY7" s="250">
        <f t="shared" si="10"/>
        <v>1251</v>
      </c>
      <c r="AZ7" s="250">
        <f t="shared" si="10"/>
        <v>1431</v>
      </c>
      <c r="BA7" s="251">
        <f t="shared" si="10"/>
        <v>0</v>
      </c>
    </row>
    <row r="8" spans="1:54" s="236" customFormat="1" x14ac:dyDescent="0.2">
      <c r="B8" s="256"/>
      <c r="C8" s="256"/>
      <c r="D8" s="256"/>
      <c r="E8" s="256"/>
      <c r="F8" s="256"/>
      <c r="H8" s="256"/>
      <c r="I8" s="256"/>
      <c r="J8" s="256"/>
      <c r="L8" s="256"/>
      <c r="M8" s="256"/>
      <c r="N8" s="256"/>
      <c r="O8" s="256"/>
      <c r="P8" s="256"/>
      <c r="Q8" s="237"/>
      <c r="R8" s="256"/>
      <c r="S8" s="256"/>
      <c r="T8" s="256"/>
      <c r="U8" s="237"/>
      <c r="V8" s="256"/>
      <c r="W8" s="256"/>
      <c r="X8" s="256"/>
      <c r="Y8" s="256"/>
      <c r="Z8" s="256"/>
      <c r="AA8" s="237"/>
      <c r="AB8" s="256"/>
      <c r="AC8" s="256"/>
      <c r="AD8" s="256"/>
      <c r="AE8" s="237"/>
      <c r="AF8" s="256"/>
      <c r="AG8" s="256"/>
      <c r="AH8" s="256"/>
      <c r="AI8" s="256"/>
      <c r="AJ8" s="256"/>
      <c r="AL8" s="256"/>
      <c r="AM8" s="256"/>
      <c r="AN8" s="256"/>
      <c r="AP8" s="256"/>
      <c r="AQ8" s="256"/>
      <c r="AR8" s="256"/>
      <c r="AS8" s="256"/>
      <c r="AT8" s="256"/>
      <c r="AW8" s="256"/>
      <c r="AX8" s="256"/>
      <c r="AY8" s="256"/>
      <c r="AZ8" s="256"/>
      <c r="BA8" s="256"/>
    </row>
    <row r="9" spans="1:54" s="243" customFormat="1" x14ac:dyDescent="0.2">
      <c r="A9" s="243" t="s">
        <v>123</v>
      </c>
      <c r="B9" s="257">
        <f>+B7*$G9</f>
        <v>-189</v>
      </c>
      <c r="C9" s="258">
        <f t="shared" ref="C9:F9" si="11">+C7*$G9</f>
        <v>-216</v>
      </c>
      <c r="D9" s="258">
        <f t="shared" si="11"/>
        <v>-243</v>
      </c>
      <c r="E9" s="258">
        <f t="shared" si="11"/>
        <v>-283.5</v>
      </c>
      <c r="F9" s="259">
        <f t="shared" si="11"/>
        <v>-356.25</v>
      </c>
      <c r="G9" s="247">
        <v>-0.15</v>
      </c>
      <c r="H9" s="258">
        <f>+C9</f>
        <v>-216</v>
      </c>
      <c r="I9" s="258">
        <f>+E9</f>
        <v>-283.5</v>
      </c>
      <c r="J9" s="258">
        <f>+F9</f>
        <v>-356.25</v>
      </c>
      <c r="K9" s="247"/>
      <c r="L9" s="257">
        <f>$Q$9*L7</f>
        <v>-189</v>
      </c>
      <c r="M9" s="258">
        <f t="shared" ref="M9:P9" si="12">$Q$9*M7</f>
        <v>-216</v>
      </c>
      <c r="N9" s="258">
        <f t="shared" si="12"/>
        <v>-243</v>
      </c>
      <c r="O9" s="258">
        <f t="shared" si="12"/>
        <v>-283.5</v>
      </c>
      <c r="P9" s="259">
        <f t="shared" si="12"/>
        <v>-356.25</v>
      </c>
      <c r="Q9" s="247">
        <v>-0.15</v>
      </c>
      <c r="R9" s="258">
        <f>+M9</f>
        <v>-216</v>
      </c>
      <c r="S9" s="258">
        <f>+O9</f>
        <v>-283.5</v>
      </c>
      <c r="T9" s="258">
        <f>+P9</f>
        <v>-356.25</v>
      </c>
      <c r="U9" s="247"/>
      <c r="V9" s="257">
        <f>+V7*$AA9</f>
        <v>-189</v>
      </c>
      <c r="W9" s="258">
        <f t="shared" ref="W9:Z9" si="13">+W7*$AA9</f>
        <v>-216</v>
      </c>
      <c r="X9" s="258">
        <f t="shared" si="13"/>
        <v>-243</v>
      </c>
      <c r="Y9" s="258">
        <f t="shared" si="13"/>
        <v>-283.5</v>
      </c>
      <c r="Z9" s="259">
        <f t="shared" si="13"/>
        <v>-356.25</v>
      </c>
      <c r="AA9" s="247">
        <v>-0.15</v>
      </c>
      <c r="AB9" s="258">
        <f>+W9</f>
        <v>-216</v>
      </c>
      <c r="AC9" s="258">
        <f>+Y9</f>
        <v>-283.5</v>
      </c>
      <c r="AD9" s="258">
        <f>+Z9</f>
        <v>-356.25</v>
      </c>
      <c r="AE9" s="247"/>
      <c r="AF9" s="257">
        <f>+AF7*$AK9</f>
        <v>-189</v>
      </c>
      <c r="AG9" s="258">
        <f t="shared" ref="AG9:AJ9" si="14">+AG7*$AK9</f>
        <v>-216</v>
      </c>
      <c r="AH9" s="258">
        <f t="shared" si="14"/>
        <v>-243</v>
      </c>
      <c r="AI9" s="258">
        <f t="shared" si="14"/>
        <v>-283.5</v>
      </c>
      <c r="AJ9" s="259">
        <f t="shared" si="14"/>
        <v>0</v>
      </c>
      <c r="AK9" s="247">
        <v>-0.15</v>
      </c>
      <c r="AL9" s="258">
        <f>+AG9</f>
        <v>-216</v>
      </c>
      <c r="AM9" s="258">
        <f>+AI9</f>
        <v>-283.5</v>
      </c>
      <c r="AN9" s="258">
        <f>+AJ9</f>
        <v>0</v>
      </c>
      <c r="AO9" s="247"/>
      <c r="AP9" s="257">
        <f>+$AU$14*(AP7)</f>
        <v>0</v>
      </c>
      <c r="AQ9" s="258">
        <f>+$AU$14*(AQ7)</f>
        <v>0</v>
      </c>
      <c r="AR9" s="258">
        <f>+$AU$14*(AR7)</f>
        <v>0</v>
      </c>
      <c r="AS9" s="258">
        <f>+$AU$14*(AS7)</f>
        <v>0</v>
      </c>
      <c r="AT9" s="259">
        <f>+$AU$14*(AT7)</f>
        <v>0</v>
      </c>
      <c r="AU9" s="247">
        <v>-0.15</v>
      </c>
      <c r="AV9" s="247"/>
      <c r="AW9" s="257">
        <f>+$BB$14*(AW7)</f>
        <v>0</v>
      </c>
      <c r="AX9" s="258">
        <f>+$BB$14*(AX7)</f>
        <v>0</v>
      </c>
      <c r="AY9" s="258">
        <f>+$BB$14*(AY7)</f>
        <v>0</v>
      </c>
      <c r="AZ9" s="258">
        <f>+$BB$14*(AZ7)</f>
        <v>0</v>
      </c>
      <c r="BA9" s="259">
        <f>+$BB$14*(BA7)</f>
        <v>0</v>
      </c>
      <c r="BB9" s="247">
        <v>-0.15</v>
      </c>
    </row>
    <row r="10" spans="1:54" s="248" customFormat="1" x14ac:dyDescent="0.2">
      <c r="A10" s="248" t="s">
        <v>106</v>
      </c>
      <c r="B10" s="260">
        <f>+B5+B6+B9</f>
        <v>1071</v>
      </c>
      <c r="C10" s="252">
        <f>+C5+C6+C9</f>
        <v>1224</v>
      </c>
      <c r="D10" s="252">
        <f>+D5+D6+D9</f>
        <v>1377</v>
      </c>
      <c r="E10" s="252">
        <f>+E5+E6+E9</f>
        <v>1606.5</v>
      </c>
      <c r="F10" s="261">
        <f>+F5+F6+F9</f>
        <v>2018.75</v>
      </c>
      <c r="H10" s="252">
        <f>+H5+H6+H9</f>
        <v>484</v>
      </c>
      <c r="I10" s="252">
        <f>+I5+I6+I9</f>
        <v>616.5</v>
      </c>
      <c r="J10" s="252">
        <f>+J5+J6+J9</f>
        <v>543.75</v>
      </c>
      <c r="L10" s="260">
        <f>+L5+L6+L9</f>
        <v>1071</v>
      </c>
      <c r="M10" s="252">
        <f>+M5+M6+M9</f>
        <v>1224</v>
      </c>
      <c r="N10" s="252">
        <f>+N5+N6+N9</f>
        <v>1377</v>
      </c>
      <c r="O10" s="252">
        <f>+O5+O6+O9</f>
        <v>1606.5</v>
      </c>
      <c r="P10" s="261">
        <f>+P5+P6+P9</f>
        <v>2018.75</v>
      </c>
      <c r="Q10" s="252"/>
      <c r="R10" s="252">
        <f>+R5+R6+R9</f>
        <v>484</v>
      </c>
      <c r="S10" s="252">
        <f>+S5+S6+S9</f>
        <v>616.5</v>
      </c>
      <c r="T10" s="252">
        <f>+T5+T6+T9</f>
        <v>543.75</v>
      </c>
      <c r="U10" s="252"/>
      <c r="V10" s="260">
        <f>+V5+V6+V9</f>
        <v>1071</v>
      </c>
      <c r="W10" s="252">
        <f>+W5+W6+W9</f>
        <v>1224</v>
      </c>
      <c r="X10" s="252">
        <f>+X5+X6+X9</f>
        <v>1377</v>
      </c>
      <c r="Y10" s="252">
        <f>+Y5+Y6+Y9</f>
        <v>1606.5</v>
      </c>
      <c r="Z10" s="261">
        <f>+Z5+Z6+Z9</f>
        <v>2018.75</v>
      </c>
      <c r="AA10" s="252"/>
      <c r="AB10" s="252">
        <f>+AB5+AB6+AB9</f>
        <v>484</v>
      </c>
      <c r="AC10" s="252">
        <f>+AC5+AC6+AC9</f>
        <v>616.5</v>
      </c>
      <c r="AD10" s="252">
        <f>+AD5+AD6+AD9</f>
        <v>543.75</v>
      </c>
      <c r="AE10" s="252"/>
      <c r="AF10" s="260">
        <f>+AF5+AF6+AF9</f>
        <v>1071</v>
      </c>
      <c r="AG10" s="252">
        <f>+AG5+AG6+AG9</f>
        <v>1224</v>
      </c>
      <c r="AH10" s="252">
        <f>+AH5+AH6+AH9</f>
        <v>1377</v>
      </c>
      <c r="AI10" s="252">
        <f>+AI5+AI6+AI9</f>
        <v>1606.5</v>
      </c>
      <c r="AJ10" s="261">
        <f>+AJ5+AJ6+AJ9</f>
        <v>0</v>
      </c>
      <c r="AL10" s="252">
        <f>+AL5+AL6+AL9</f>
        <v>484</v>
      </c>
      <c r="AM10" s="252">
        <f>+AM5+AM6+AM9</f>
        <v>616.5</v>
      </c>
      <c r="AN10" s="252">
        <f>+AN5+AN6+AN9</f>
        <v>0</v>
      </c>
      <c r="AP10" s="260">
        <f>+AP5+AP6+AP9</f>
        <v>1341</v>
      </c>
      <c r="AQ10" s="252">
        <f>+AQ5+AQ6+AQ9</f>
        <v>1611</v>
      </c>
      <c r="AR10" s="252">
        <f>+AR5+AR6+AR9</f>
        <v>1971</v>
      </c>
      <c r="AS10" s="252">
        <f>+AS5+AS6+AS9</f>
        <v>2241</v>
      </c>
      <c r="AT10" s="261">
        <f>+AT5+AT6+AT9</f>
        <v>0</v>
      </c>
      <c r="AW10" s="260">
        <f>+AW5+AW6+AW9</f>
        <v>981</v>
      </c>
      <c r="AX10" s="252">
        <f>+AX5+AX6+AX9</f>
        <v>1161</v>
      </c>
      <c r="AY10" s="252">
        <f>+AY5+AY6+AY9</f>
        <v>1251</v>
      </c>
      <c r="AZ10" s="252">
        <f>+AZ5+AZ6+AZ9</f>
        <v>1431</v>
      </c>
      <c r="BA10" s="261">
        <f>+BA5+BA6+BA9</f>
        <v>0</v>
      </c>
    </row>
    <row r="11" spans="1:54" x14ac:dyDescent="0.2">
      <c r="B11" s="262"/>
      <c r="F11" s="263"/>
      <c r="L11" s="262"/>
      <c r="P11" s="263"/>
      <c r="V11" s="262"/>
      <c r="Z11" s="263"/>
      <c r="AF11" s="262"/>
      <c r="AJ11" s="263"/>
      <c r="AP11" s="262"/>
      <c r="AT11" s="263"/>
      <c r="AW11" s="262"/>
      <c r="BA11" s="263"/>
    </row>
    <row r="12" spans="1:54" ht="15" customHeight="1" outlineLevel="1" x14ac:dyDescent="0.2">
      <c r="A12" t="s">
        <v>107</v>
      </c>
      <c r="B12" s="264">
        <v>-9.1314238095238096</v>
      </c>
      <c r="C12" s="232">
        <v>-13.31756380952381</v>
      </c>
      <c r="D12" s="232">
        <v>-10.736757142857142</v>
      </c>
      <c r="E12" s="232">
        <v>-14.742897142857142</v>
      </c>
      <c r="F12" s="265">
        <v>-25.290230476190477</v>
      </c>
      <c r="G12" s="232"/>
      <c r="H12" s="232">
        <f>+C12</f>
        <v>-13.31756380952381</v>
      </c>
      <c r="I12" s="232">
        <f>+E12</f>
        <v>-14.742897142857142</v>
      </c>
      <c r="J12" s="232">
        <f>+F12</f>
        <v>-25.290230476190477</v>
      </c>
      <c r="K12" s="232"/>
      <c r="L12" s="264">
        <v>-16.054500000000001</v>
      </c>
      <c r="M12" s="232">
        <v>-21.338214285714287</v>
      </c>
      <c r="N12" s="232">
        <v>-18.742714285714289</v>
      </c>
      <c r="O12" s="232">
        <v>-23.538714285714285</v>
      </c>
      <c r="P12" s="265">
        <v>-37.503214285714293</v>
      </c>
      <c r="Q12" s="232"/>
      <c r="R12" s="232">
        <f>+M12</f>
        <v>-21.338214285714287</v>
      </c>
      <c r="S12" s="232">
        <f>+O12</f>
        <v>-23.538714285714285</v>
      </c>
      <c r="T12" s="232">
        <f>+P12</f>
        <v>-37.503214285714293</v>
      </c>
      <c r="U12" s="232"/>
      <c r="V12" s="264">
        <v>-13.349776271844659</v>
      </c>
      <c r="W12" s="232">
        <v>-21.009252543689325</v>
      </c>
      <c r="X12" s="232">
        <v>-12.855147928987519</v>
      </c>
      <c r="Y12" s="232">
        <v>-22.829024200832183</v>
      </c>
      <c r="Z12" s="265">
        <v>-38.080771515117888</v>
      </c>
      <c r="AA12" s="232"/>
      <c r="AB12" s="232">
        <f>+W12</f>
        <v>-21.009252543689325</v>
      </c>
      <c r="AC12" s="232">
        <f>+Y12</f>
        <v>-22.829024200832183</v>
      </c>
      <c r="AD12" s="232">
        <f>+Z12</f>
        <v>-38.080771515117888</v>
      </c>
      <c r="AE12" s="232"/>
      <c r="AF12" s="264">
        <v>-8.8166333333333338</v>
      </c>
      <c r="AG12" s="232">
        <v>-18.329106666666668</v>
      </c>
      <c r="AH12" s="232">
        <v>-11.506597142857146</v>
      </c>
      <c r="AI12" s="232">
        <v>-21.019070476190475</v>
      </c>
      <c r="AJ12" s="265"/>
      <c r="AL12" s="232">
        <f>+AG12</f>
        <v>-18.329106666666668</v>
      </c>
      <c r="AM12" s="232">
        <f>+AI12</f>
        <v>-21.019070476190475</v>
      </c>
      <c r="AN12" s="232"/>
      <c r="AP12" s="264">
        <v>-12.706633333333334</v>
      </c>
      <c r="AQ12" s="232">
        <v>-22.219106666666665</v>
      </c>
      <c r="AR12" s="232">
        <v>-18.996597142857144</v>
      </c>
      <c r="AS12" s="232">
        <v>-28.509070476190477</v>
      </c>
      <c r="AT12" s="265"/>
      <c r="AW12" s="264">
        <v>-12.706633333333334</v>
      </c>
      <c r="AX12" s="232">
        <v>-22.219106666666665</v>
      </c>
      <c r="AY12" s="232">
        <v>-15.396597142857146</v>
      </c>
      <c r="AZ12" s="232">
        <v>-24.909070476190475</v>
      </c>
      <c r="BA12" s="265"/>
    </row>
    <row r="13" spans="1:54" ht="15" customHeight="1" outlineLevel="1" x14ac:dyDescent="0.2">
      <c r="A13" t="s">
        <v>108</v>
      </c>
      <c r="B13" s="264">
        <v>-18.66950356233766</v>
      </c>
      <c r="C13" s="232">
        <v>-34.59768133822844</v>
      </c>
      <c r="D13" s="232">
        <v>-28.086762168722938</v>
      </c>
      <c r="E13" s="232">
        <v>-44.014939944613715</v>
      </c>
      <c r="F13" s="265">
        <v>-131.19745882286048</v>
      </c>
      <c r="G13" s="232"/>
      <c r="H13" s="232">
        <f>+C13-B13</f>
        <v>-15.928177775890781</v>
      </c>
      <c r="I13" s="232">
        <f>+E13-C13</f>
        <v>-9.4172586063852748</v>
      </c>
      <c r="J13" s="232">
        <f>+F13-E13</f>
        <v>-87.182518878246768</v>
      </c>
      <c r="K13" s="232"/>
      <c r="L13" s="264">
        <v>-34.102397066666683</v>
      </c>
      <c r="M13" s="232">
        <v>-51.921197066666672</v>
      </c>
      <c r="N13" s="232">
        <v>-52.072006038095232</v>
      </c>
      <c r="O13" s="232">
        <v>-69.890806038095235</v>
      </c>
      <c r="P13" s="265">
        <v>-172.61227929523812</v>
      </c>
      <c r="Q13" s="232"/>
      <c r="R13" s="232">
        <f>+M13-L13</f>
        <v>-17.818799999999989</v>
      </c>
      <c r="S13" s="232">
        <f>+O13-M13</f>
        <v>-17.969608971428563</v>
      </c>
      <c r="T13" s="232">
        <f>+P13-O13</f>
        <v>-102.72147325714289</v>
      </c>
      <c r="U13" s="232"/>
      <c r="V13" s="264">
        <v>-25.930927333333337</v>
      </c>
      <c r="W13" s="232">
        <v>-35.221447333333337</v>
      </c>
      <c r="X13" s="232">
        <v>-65.498621999999983</v>
      </c>
      <c r="Y13" s="232">
        <v>-74.844125999999989</v>
      </c>
      <c r="Z13" s="265">
        <v>-210.55590868571426</v>
      </c>
      <c r="AA13" s="232"/>
      <c r="AB13" s="232">
        <f>+W13-V13</f>
        <v>-9.2905200000000008</v>
      </c>
      <c r="AC13" s="232">
        <f>+Y13-W13</f>
        <v>-39.622678666666651</v>
      </c>
      <c r="AD13" s="232">
        <f>+Z13-Y13</f>
        <v>-135.71178268571427</v>
      </c>
      <c r="AE13" s="232"/>
      <c r="AF13" s="264">
        <v>-18.711553276623377</v>
      </c>
      <c r="AG13" s="232">
        <v>-34.304736890609384</v>
      </c>
      <c r="AH13" s="232">
        <v>-28.075830441965575</v>
      </c>
      <c r="AI13" s="232">
        <v>-43.669014055951585</v>
      </c>
      <c r="AJ13" s="265"/>
      <c r="AL13" s="232">
        <f>+AG13-AF13</f>
        <v>-15.593183613986007</v>
      </c>
      <c r="AM13" s="232">
        <f>+AI13-AG13</f>
        <v>-9.3642771653422017</v>
      </c>
      <c r="AN13" s="232"/>
      <c r="AP13" s="264">
        <v>-18.711553276623377</v>
      </c>
      <c r="AQ13" s="232">
        <v>-34.304736890609384</v>
      </c>
      <c r="AR13" s="232">
        <v>-28.075830441965575</v>
      </c>
      <c r="AS13" s="232">
        <v>-43.669014055951585</v>
      </c>
      <c r="AT13" s="265"/>
      <c r="AW13" s="264">
        <v>-18.711553276623377</v>
      </c>
      <c r="AX13" s="232">
        <v>-34.304736890609384</v>
      </c>
      <c r="AY13" s="232">
        <v>-28.075830441965575</v>
      </c>
      <c r="AZ13" s="232">
        <v>-43.669014055951585</v>
      </c>
      <c r="BA13" s="265"/>
    </row>
    <row r="14" spans="1:54" ht="15" customHeight="1" outlineLevel="1" x14ac:dyDescent="0.2">
      <c r="A14" t="s">
        <v>109</v>
      </c>
      <c r="B14" s="264">
        <v>-7.087109466666667</v>
      </c>
      <c r="C14" s="232">
        <v>-18.647291466666662</v>
      </c>
      <c r="D14" s="232">
        <v>-7.087109466666667</v>
      </c>
      <c r="E14" s="232">
        <v>-18.647291466666662</v>
      </c>
      <c r="F14" s="265">
        <v>-95.038958133333352</v>
      </c>
      <c r="G14" s="232"/>
      <c r="H14" s="232">
        <f>+B14</f>
        <v>-7.087109466666667</v>
      </c>
      <c r="I14" s="232">
        <f>+D14</f>
        <v>-7.087109466666667</v>
      </c>
      <c r="J14" s="232">
        <f>+F14-E14</f>
        <v>-76.391666666666694</v>
      </c>
      <c r="K14" s="232"/>
      <c r="L14" s="264">
        <v>-42.475500000000004</v>
      </c>
      <c r="M14" s="232">
        <v>-55.551499999999997</v>
      </c>
      <c r="N14" s="232">
        <v>-51.133400000000002</v>
      </c>
      <c r="O14" s="232">
        <v>-64.209400000000002</v>
      </c>
      <c r="P14" s="265">
        <v>-72.827300000000008</v>
      </c>
      <c r="Q14" s="232"/>
      <c r="R14" s="232">
        <f>+L14</f>
        <v>-42.475500000000004</v>
      </c>
      <c r="S14" s="232">
        <f>+N14</f>
        <v>-51.133400000000002</v>
      </c>
      <c r="T14" s="232">
        <f>+P14-O14</f>
        <v>-8.6179000000000059</v>
      </c>
      <c r="U14" s="232"/>
      <c r="V14" s="264">
        <v>-57.685472925619834</v>
      </c>
      <c r="W14" s="232">
        <v>-88.910656925619833</v>
      </c>
      <c r="X14" s="232">
        <v>-92.885472925619837</v>
      </c>
      <c r="Y14" s="232">
        <v>-124.11065692561985</v>
      </c>
      <c r="Z14" s="265">
        <v>-264.91065692561983</v>
      </c>
      <c r="AA14" s="232"/>
      <c r="AB14" s="232">
        <f>+V14</f>
        <v>-57.685472925619834</v>
      </c>
      <c r="AC14" s="232">
        <f>+X14</f>
        <v>-92.885472925619837</v>
      </c>
      <c r="AD14" s="232">
        <f>+Z14-Y14</f>
        <v>-140.79999999999998</v>
      </c>
      <c r="AE14" s="232"/>
      <c r="AF14" s="264">
        <v>-6.499850799999999</v>
      </c>
      <c r="AG14" s="232">
        <v>-17.073552799999998</v>
      </c>
      <c r="AH14" s="232">
        <v>-21.333184133333333</v>
      </c>
      <c r="AI14" s="232">
        <v>-31.90688613333333</v>
      </c>
      <c r="AJ14" s="265"/>
      <c r="AL14" s="232">
        <f>+AF14</f>
        <v>-6.499850799999999</v>
      </c>
      <c r="AM14" s="232">
        <f>+AH14</f>
        <v>-21.333184133333333</v>
      </c>
      <c r="AN14" s="232"/>
      <c r="AP14" s="264">
        <v>-241.1040174666667</v>
      </c>
      <c r="AQ14" s="232">
        <v>-251.6777194666667</v>
      </c>
      <c r="AR14" s="232">
        <v>-255.93735080000005</v>
      </c>
      <c r="AS14" s="232">
        <v>-266.51105280000002</v>
      </c>
      <c r="AT14" s="265"/>
      <c r="AW14" s="264">
        <v>-21.166517466666669</v>
      </c>
      <c r="AX14" s="232">
        <v>-31.740219466666666</v>
      </c>
      <c r="AY14" s="232">
        <v>-21.166517466666669</v>
      </c>
      <c r="AZ14" s="232">
        <v>-31.740219466666666</v>
      </c>
      <c r="BA14" s="265"/>
    </row>
    <row r="15" spans="1:54" s="248" customFormat="1" x14ac:dyDescent="0.2">
      <c r="A15" s="248" t="s">
        <v>110</v>
      </c>
      <c r="B15" s="260">
        <f t="shared" ref="B15:F15" si="15">SUM(B12:B14)</f>
        <v>-34.888036838528137</v>
      </c>
      <c r="C15" s="252">
        <f t="shared" si="15"/>
        <v>-66.562536614418917</v>
      </c>
      <c r="D15" s="252">
        <f t="shared" si="15"/>
        <v>-45.910628778246746</v>
      </c>
      <c r="E15" s="252">
        <f t="shared" si="15"/>
        <v>-77.405128554137519</v>
      </c>
      <c r="F15" s="261">
        <f t="shared" si="15"/>
        <v>-251.52664743238432</v>
      </c>
      <c r="H15" s="252">
        <f t="shared" ref="H15:J15" si="16">SUM(H12:H14)</f>
        <v>-36.33285105208126</v>
      </c>
      <c r="I15" s="252">
        <f t="shared" si="16"/>
        <v>-31.247265215909085</v>
      </c>
      <c r="J15" s="252">
        <f t="shared" si="16"/>
        <v>-188.86441602110392</v>
      </c>
      <c r="L15" s="260">
        <f t="shared" ref="L15:P15" si="17">SUM(L12:L14)</f>
        <v>-92.632397066666698</v>
      </c>
      <c r="M15" s="252">
        <f t="shared" si="17"/>
        <v>-128.81091135238097</v>
      </c>
      <c r="N15" s="252">
        <f t="shared" si="17"/>
        <v>-121.94812032380952</v>
      </c>
      <c r="O15" s="252">
        <f t="shared" si="17"/>
        <v>-157.63892032380954</v>
      </c>
      <c r="P15" s="261">
        <f t="shared" si="17"/>
        <v>-282.94279358095241</v>
      </c>
      <c r="Q15" s="252"/>
      <c r="R15" s="252">
        <f t="shared" ref="R15:T15" si="18">SUM(R12:R14)</f>
        <v>-81.632514285714279</v>
      </c>
      <c r="S15" s="252">
        <f t="shared" si="18"/>
        <v>-92.641723257142843</v>
      </c>
      <c r="T15" s="252">
        <f t="shared" si="18"/>
        <v>-148.84258754285719</v>
      </c>
      <c r="U15" s="252"/>
      <c r="V15" s="260">
        <f t="shared" ref="V15:Z15" si="19">SUM(V12:V14)</f>
        <v>-96.966176530797838</v>
      </c>
      <c r="W15" s="252">
        <f t="shared" si="19"/>
        <v>-145.14135680264249</v>
      </c>
      <c r="X15" s="252">
        <f t="shared" si="19"/>
        <v>-171.23924285460734</v>
      </c>
      <c r="Y15" s="252">
        <f t="shared" si="19"/>
        <v>-221.78380712645202</v>
      </c>
      <c r="Z15" s="261">
        <f t="shared" si="19"/>
        <v>-513.54733712645202</v>
      </c>
      <c r="AA15" s="252"/>
      <c r="AB15" s="252">
        <f t="shared" ref="AB15:AD15" si="20">SUM(AB12:AB14)</f>
        <v>-87.985245469309163</v>
      </c>
      <c r="AC15" s="252">
        <f t="shared" si="20"/>
        <v>-155.33717579311866</v>
      </c>
      <c r="AD15" s="252">
        <f t="shared" si="20"/>
        <v>-314.59255420083218</v>
      </c>
      <c r="AE15" s="252"/>
      <c r="AF15" s="260">
        <f t="shared" ref="AF15:AJ15" si="21">SUM(AF12:AF14)</f>
        <v>-34.02803740995671</v>
      </c>
      <c r="AG15" s="252">
        <f t="shared" si="21"/>
        <v>-69.707396357276053</v>
      </c>
      <c r="AH15" s="252">
        <f t="shared" si="21"/>
        <v>-60.915611718156057</v>
      </c>
      <c r="AI15" s="252">
        <f t="shared" si="21"/>
        <v>-96.594970665475387</v>
      </c>
      <c r="AJ15" s="261">
        <f t="shared" si="21"/>
        <v>0</v>
      </c>
      <c r="AL15" s="252">
        <f t="shared" ref="AL15:AN15" si="22">SUM(AL12:AL14)</f>
        <v>-40.422141080652672</v>
      </c>
      <c r="AM15" s="252">
        <f t="shared" si="22"/>
        <v>-51.716531774866013</v>
      </c>
      <c r="AN15" s="252">
        <f t="shared" si="22"/>
        <v>0</v>
      </c>
      <c r="AP15" s="260">
        <f t="shared" ref="AP15:AT15" si="23">SUM(AP12:AP14)</f>
        <v>-272.52220407662344</v>
      </c>
      <c r="AQ15" s="252">
        <f t="shared" si="23"/>
        <v>-308.20156302394275</v>
      </c>
      <c r="AR15" s="252">
        <f t="shared" si="23"/>
        <v>-303.00977838482277</v>
      </c>
      <c r="AS15" s="252">
        <f t="shared" si="23"/>
        <v>-338.68913733214208</v>
      </c>
      <c r="AT15" s="261">
        <f t="shared" si="23"/>
        <v>0</v>
      </c>
      <c r="AW15" s="260">
        <f t="shared" ref="AW15:BA15" si="24">SUM(AW12:AW14)</f>
        <v>-52.584704076623382</v>
      </c>
      <c r="AX15" s="252">
        <f t="shared" si="24"/>
        <v>-88.264063023942725</v>
      </c>
      <c r="AY15" s="252">
        <f t="shared" si="24"/>
        <v>-64.638945051489401</v>
      </c>
      <c r="AZ15" s="252">
        <f t="shared" si="24"/>
        <v>-100.31830399880872</v>
      </c>
      <c r="BA15" s="261">
        <f t="shared" si="24"/>
        <v>0</v>
      </c>
    </row>
    <row r="16" spans="1:54" x14ac:dyDescent="0.2">
      <c r="B16" s="264"/>
      <c r="C16" s="232"/>
      <c r="D16" s="232"/>
      <c r="E16" s="232"/>
      <c r="F16" s="265"/>
      <c r="G16" s="232"/>
      <c r="H16" s="232"/>
      <c r="I16" s="232"/>
      <c r="J16" s="232"/>
      <c r="K16" s="232"/>
      <c r="L16" s="264"/>
      <c r="M16" s="232"/>
      <c r="N16" s="232"/>
      <c r="O16" s="232"/>
      <c r="P16" s="265"/>
      <c r="Q16" s="232"/>
      <c r="R16" s="232"/>
      <c r="S16" s="232"/>
      <c r="T16" s="232"/>
      <c r="U16" s="232"/>
      <c r="V16" s="264"/>
      <c r="W16" s="232"/>
      <c r="X16" s="232"/>
      <c r="Y16" s="232"/>
      <c r="Z16" s="265"/>
      <c r="AA16" s="232"/>
      <c r="AB16" s="232"/>
      <c r="AC16" s="232"/>
      <c r="AD16" s="232"/>
      <c r="AE16" s="232"/>
      <c r="AF16" s="264"/>
      <c r="AG16" s="232"/>
      <c r="AH16" s="232"/>
      <c r="AI16" s="232"/>
      <c r="AJ16" s="265"/>
      <c r="AL16" s="232"/>
      <c r="AM16" s="232"/>
      <c r="AN16" s="232"/>
      <c r="AP16" s="264"/>
      <c r="AQ16" s="232"/>
      <c r="AR16" s="232"/>
      <c r="AS16" s="232"/>
      <c r="AT16" s="265"/>
      <c r="AW16" s="264"/>
      <c r="AX16" s="232"/>
      <c r="AY16" s="232"/>
      <c r="AZ16" s="232"/>
      <c r="BA16" s="265"/>
    </row>
    <row r="17" spans="1:54" s="243" customFormat="1" ht="15" customHeight="1" outlineLevel="1" x14ac:dyDescent="0.2">
      <c r="A17" s="243" t="s">
        <v>111</v>
      </c>
      <c r="B17" s="266">
        <v>-10.903148148148148</v>
      </c>
      <c r="C17" s="267">
        <v>-15.273333333333333</v>
      </c>
      <c r="D17" s="267">
        <v>-18.150693069306929</v>
      </c>
      <c r="E17" s="267">
        <v>-25.044562737642583</v>
      </c>
      <c r="F17" s="268">
        <v>-39.238947368421051</v>
      </c>
      <c r="G17" s="267"/>
      <c r="H17" s="232">
        <f>+C17-B17</f>
        <v>-4.3701851851851856</v>
      </c>
      <c r="I17" s="232">
        <f>+E17-C17</f>
        <v>-9.7712294043092491</v>
      </c>
      <c r="J17" s="232">
        <f>+F17-E17</f>
        <v>-14.194384630778469</v>
      </c>
      <c r="K17" s="267"/>
      <c r="L17" s="266">
        <v>-10.454545454545455</v>
      </c>
      <c r="M17" s="267">
        <v>-31.48936170212766</v>
      </c>
      <c r="N17" s="267">
        <v>-20.516605166051662</v>
      </c>
      <c r="O17" s="267">
        <v>-14.825737265415549</v>
      </c>
      <c r="P17" s="268">
        <v>-28.423423423423422</v>
      </c>
      <c r="Q17" s="267"/>
      <c r="R17" s="232">
        <f>+M17-L17</f>
        <v>-21.034816247582206</v>
      </c>
      <c r="S17" s="232">
        <f>+O17-M17</f>
        <v>16.663624436712112</v>
      </c>
      <c r="T17" s="232">
        <f>+P17-O17</f>
        <v>-13.597686158007873</v>
      </c>
      <c r="U17" s="267"/>
      <c r="V17" s="266">
        <f>-1500/25</f>
        <v>-60</v>
      </c>
      <c r="W17" s="267">
        <f>-1500/25</f>
        <v>-60</v>
      </c>
      <c r="X17" s="267">
        <f>-1500/25</f>
        <v>-60</v>
      </c>
      <c r="Y17" s="267">
        <f>-1500/25</f>
        <v>-60</v>
      </c>
      <c r="Z17" s="268">
        <f>-1500/25</f>
        <v>-60</v>
      </c>
      <c r="AA17" s="267"/>
      <c r="AB17" s="232">
        <f>+W17-V17</f>
        <v>0</v>
      </c>
      <c r="AC17" s="232">
        <f>+Y17-W17</f>
        <v>0</v>
      </c>
      <c r="AD17" s="232">
        <f>+Z17-Y17</f>
        <v>0</v>
      </c>
      <c r="AE17" s="267"/>
      <c r="AF17" s="266">
        <v>-7.02</v>
      </c>
      <c r="AG17" s="267">
        <v>-7.02</v>
      </c>
      <c r="AH17" s="267">
        <v>-7.02</v>
      </c>
      <c r="AI17" s="267">
        <v>-7.02</v>
      </c>
      <c r="AJ17" s="268">
        <v>0</v>
      </c>
      <c r="AL17" s="232">
        <f>+AG17-AF17</f>
        <v>0</v>
      </c>
      <c r="AM17" s="232">
        <f>+AI17-AG17</f>
        <v>0</v>
      </c>
      <c r="AN17" s="232"/>
      <c r="AP17" s="266">
        <v>-110</v>
      </c>
      <c r="AQ17" s="267">
        <v>-130</v>
      </c>
      <c r="AR17" s="267">
        <v>-190</v>
      </c>
      <c r="AS17" s="267">
        <v>-200</v>
      </c>
      <c r="AT17" s="268"/>
      <c r="AW17" s="266"/>
      <c r="AX17" s="267"/>
      <c r="AY17" s="267"/>
      <c r="AZ17" s="267"/>
      <c r="BA17" s="268"/>
    </row>
    <row r="18" spans="1:54" s="243" customFormat="1" ht="15" customHeight="1" outlineLevel="1" x14ac:dyDescent="0.2">
      <c r="A18" s="243" t="s">
        <v>112</v>
      </c>
      <c r="B18" s="266">
        <v>-31.44025925925926</v>
      </c>
      <c r="C18" s="267">
        <v>-53.558175438596493</v>
      </c>
      <c r="D18" s="267">
        <v>-51.519900990099011</v>
      </c>
      <c r="E18" s="267">
        <v>-77.482965779467676</v>
      </c>
      <c r="F18" s="268">
        <v>-97.112736842105264</v>
      </c>
      <c r="G18" s="267"/>
      <c r="H18" s="232">
        <f>+C18-B18</f>
        <v>-22.117916179337232</v>
      </c>
      <c r="I18" s="232">
        <f>+E18-C18</f>
        <v>-23.924790340871184</v>
      </c>
      <c r="J18" s="232">
        <f>+F18-E18</f>
        <v>-19.629771062637587</v>
      </c>
      <c r="K18" s="267"/>
      <c r="L18" s="266">
        <v>-36.18181818181818</v>
      </c>
      <c r="M18" s="267">
        <v>-89.78723404255318</v>
      </c>
      <c r="N18" s="267">
        <v>-71.025830258302591</v>
      </c>
      <c r="O18" s="267">
        <v>-111.06166219839142</v>
      </c>
      <c r="P18" s="268">
        <v>-132.31608588525165</v>
      </c>
      <c r="Q18" s="267"/>
      <c r="R18" s="232">
        <f>+M18-L18</f>
        <v>-53.605415860735</v>
      </c>
      <c r="S18" s="232">
        <f>+O18-M18</f>
        <v>-21.274428155838237</v>
      </c>
      <c r="T18" s="232">
        <f>+P18-O18</f>
        <v>-21.254423686860235</v>
      </c>
      <c r="U18" s="267"/>
      <c r="V18" s="266">
        <v>-25.344000000000001</v>
      </c>
      <c r="W18" s="267">
        <v>-36.712500000000006</v>
      </c>
      <c r="X18" s="267">
        <v>-51.127083333333481</v>
      </c>
      <c r="Y18" s="267">
        <v>-52.699999999999882</v>
      </c>
      <c r="Z18" s="268">
        <v>-60</v>
      </c>
      <c r="AA18" s="267"/>
      <c r="AB18" s="232">
        <f>+W18-V18</f>
        <v>-11.368500000000004</v>
      </c>
      <c r="AC18" s="232">
        <f>+Y18-W18</f>
        <v>-15.987499999999876</v>
      </c>
      <c r="AD18" s="232">
        <f>+Z18-Y18</f>
        <v>-7.300000000000118</v>
      </c>
      <c r="AE18" s="267"/>
      <c r="AF18" s="266">
        <v>0</v>
      </c>
      <c r="AG18" s="267">
        <v>0</v>
      </c>
      <c r="AH18" s="267">
        <v>0</v>
      </c>
      <c r="AI18" s="267">
        <v>0</v>
      </c>
      <c r="AJ18" s="268">
        <v>0</v>
      </c>
      <c r="AL18" s="232">
        <f>+AG18-AF18</f>
        <v>0</v>
      </c>
      <c r="AM18" s="232">
        <f>+AI18-AG18</f>
        <v>0</v>
      </c>
      <c r="AN18" s="232"/>
      <c r="AP18" s="266">
        <v>0</v>
      </c>
      <c r="AQ18" s="267">
        <v>0</v>
      </c>
      <c r="AR18" s="267">
        <v>0</v>
      </c>
      <c r="AS18" s="267">
        <v>0</v>
      </c>
      <c r="AT18" s="268"/>
      <c r="AW18" s="266"/>
      <c r="AX18" s="267"/>
      <c r="AY18" s="267"/>
      <c r="AZ18" s="267"/>
      <c r="BA18" s="268"/>
    </row>
    <row r="19" spans="1:54" s="243" customFormat="1" ht="15" customHeight="1" outlineLevel="1" x14ac:dyDescent="0.2">
      <c r="A19" s="243" t="s">
        <v>113</v>
      </c>
      <c r="B19" s="266">
        <v>-32.114850925925921</v>
      </c>
      <c r="C19" s="267">
        <v>-59.337975438596501</v>
      </c>
      <c r="D19" s="267">
        <v>-49.455423762376242</v>
      </c>
      <c r="E19" s="267">
        <v>-74.590431178707234</v>
      </c>
      <c r="F19" s="268">
        <v>-181.21247368421055</v>
      </c>
      <c r="G19" s="267"/>
      <c r="H19" s="232">
        <f>+C19-B19</f>
        <v>-27.22312451267058</v>
      </c>
      <c r="I19" s="232">
        <f>+E19-C19</f>
        <v>-15.252455740110733</v>
      </c>
      <c r="J19" s="232">
        <f>+F19-E19</f>
        <v>-106.62204250550332</v>
      </c>
      <c r="K19" s="267"/>
      <c r="L19" s="266">
        <v>-100</v>
      </c>
      <c r="M19" s="267">
        <v>-140</v>
      </c>
      <c r="N19" s="267">
        <v>-190</v>
      </c>
      <c r="O19" s="267">
        <v>-240</v>
      </c>
      <c r="P19" s="268">
        <v>-400</v>
      </c>
      <c r="Q19" s="267"/>
      <c r="R19" s="232">
        <f>+M19-L19</f>
        <v>-40</v>
      </c>
      <c r="S19" s="232">
        <f>+O19-M19</f>
        <v>-100</v>
      </c>
      <c r="T19" s="232">
        <f>+P19-O19</f>
        <v>-160</v>
      </c>
      <c r="U19" s="267"/>
      <c r="V19" s="266">
        <v>-12.76</v>
      </c>
      <c r="W19" s="267">
        <v>-26.400000000000002</v>
      </c>
      <c r="X19" s="267">
        <v>-21.450000000000003</v>
      </c>
      <c r="Y19" s="267">
        <v>-24.519999999999992</v>
      </c>
      <c r="Z19" s="268">
        <f>-2000/25</f>
        <v>-80</v>
      </c>
      <c r="AA19" s="267"/>
      <c r="AB19" s="232">
        <f>+W19-V19</f>
        <v>-13.640000000000002</v>
      </c>
      <c r="AC19" s="232">
        <f>+Y19-W19</f>
        <v>1.8800000000000097</v>
      </c>
      <c r="AD19" s="232">
        <f>+Z19-Y19</f>
        <v>-55.480000000000004</v>
      </c>
      <c r="AE19" s="267"/>
      <c r="AF19" s="266">
        <v>-11.472777648068</v>
      </c>
      <c r="AG19" s="267">
        <v>-33.6534811009994</v>
      </c>
      <c r="AH19" s="267">
        <v>-20.412767225196301</v>
      </c>
      <c r="AI19" s="267">
        <v>-36.977281703567201</v>
      </c>
      <c r="AJ19" s="268">
        <v>0</v>
      </c>
      <c r="AL19" s="232">
        <f>+AG19-AF19</f>
        <v>-22.1807034529314</v>
      </c>
      <c r="AM19" s="232">
        <f>+AI19-AG19</f>
        <v>-3.3238006025678004</v>
      </c>
      <c r="AN19" s="232"/>
      <c r="AP19" s="266">
        <v>-20</v>
      </c>
      <c r="AQ19" s="267">
        <v>-20</v>
      </c>
      <c r="AR19" s="267">
        <v>-20</v>
      </c>
      <c r="AS19" s="267">
        <v>-20</v>
      </c>
      <c r="AT19" s="268"/>
      <c r="AW19" s="266"/>
      <c r="AX19" s="267"/>
      <c r="AY19" s="267"/>
      <c r="AZ19" s="267"/>
      <c r="BA19" s="268"/>
    </row>
    <row r="20" spans="1:54" s="243" customFormat="1" ht="15" customHeight="1" outlineLevel="1" x14ac:dyDescent="0.2">
      <c r="A20" s="243" t="s">
        <v>114</v>
      </c>
      <c r="B20" s="266">
        <v>-8.1872749099639872</v>
      </c>
      <c r="C20" s="267">
        <v>-8.1872749099639872</v>
      </c>
      <c r="D20" s="267">
        <v>-8.1872749099639872</v>
      </c>
      <c r="E20" s="267">
        <v>-8.1872749099639872</v>
      </c>
      <c r="F20" s="268">
        <v>-8.1872749099639872</v>
      </c>
      <c r="G20" s="267"/>
      <c r="H20" s="232">
        <f>+C20-B20</f>
        <v>0</v>
      </c>
      <c r="I20" s="232">
        <f>+E20-C20</f>
        <v>0</v>
      </c>
      <c r="J20" s="232">
        <f>+F20-E20</f>
        <v>0</v>
      </c>
      <c r="K20" s="267"/>
      <c r="L20" s="266">
        <v>0</v>
      </c>
      <c r="M20" s="267">
        <v>0</v>
      </c>
      <c r="N20" s="267">
        <v>0</v>
      </c>
      <c r="O20" s="267">
        <v>0</v>
      </c>
      <c r="P20" s="268">
        <v>0</v>
      </c>
      <c r="Q20" s="267"/>
      <c r="R20" s="232">
        <f>+M20-L20</f>
        <v>0</v>
      </c>
      <c r="S20" s="232">
        <f>+O20-M20</f>
        <v>0</v>
      </c>
      <c r="T20" s="232">
        <f>+P20-O20</f>
        <v>0</v>
      </c>
      <c r="U20" s="267"/>
      <c r="V20" s="266">
        <v>0</v>
      </c>
      <c r="W20" s="267">
        <v>0</v>
      </c>
      <c r="X20" s="267">
        <v>0</v>
      </c>
      <c r="Y20" s="267">
        <v>0</v>
      </c>
      <c r="Z20" s="268">
        <v>0</v>
      </c>
      <c r="AA20" s="267"/>
      <c r="AB20" s="232">
        <f>+W20-V20</f>
        <v>0</v>
      </c>
      <c r="AC20" s="232">
        <f>+Y20-W20</f>
        <v>0</v>
      </c>
      <c r="AD20" s="232">
        <f>+Z20-Y20</f>
        <v>0</v>
      </c>
      <c r="AE20" s="267"/>
      <c r="AF20" s="266">
        <v>0</v>
      </c>
      <c r="AG20" s="267">
        <v>0</v>
      </c>
      <c r="AH20" s="267">
        <v>0</v>
      </c>
      <c r="AI20" s="267">
        <v>0</v>
      </c>
      <c r="AJ20" s="268">
        <v>0</v>
      </c>
      <c r="AL20" s="232">
        <f>+AG20-AF20</f>
        <v>0</v>
      </c>
      <c r="AM20" s="232">
        <f>+AI20-AG20</f>
        <v>0</v>
      </c>
      <c r="AN20" s="232"/>
      <c r="AP20" s="266"/>
      <c r="AQ20" s="267"/>
      <c r="AR20" s="267"/>
      <c r="AS20" s="267"/>
      <c r="AT20" s="268"/>
      <c r="AW20" s="266"/>
      <c r="AX20" s="267"/>
      <c r="AY20" s="267"/>
      <c r="AZ20" s="267"/>
      <c r="BA20" s="268"/>
    </row>
    <row r="21" spans="1:54" s="269" customFormat="1" x14ac:dyDescent="0.2">
      <c r="A21" s="269" t="s">
        <v>115</v>
      </c>
      <c r="B21" s="270">
        <f>SUM(B17:B20)</f>
        <v>-82.645533243297322</v>
      </c>
      <c r="C21" s="271">
        <f t="shared" ref="C21:F21" si="25">SUM(C17:C20)</f>
        <v>-136.3567591204903</v>
      </c>
      <c r="D21" s="271">
        <f t="shared" si="25"/>
        <v>-127.31329273174617</v>
      </c>
      <c r="E21" s="271">
        <f t="shared" si="25"/>
        <v>-185.30523460578146</v>
      </c>
      <c r="F21" s="272">
        <f t="shared" si="25"/>
        <v>-325.75143280470087</v>
      </c>
      <c r="H21" s="271">
        <f t="shared" ref="H21:J21" si="26">SUM(H17:H20)</f>
        <v>-53.711225877193002</v>
      </c>
      <c r="I21" s="271">
        <f t="shared" si="26"/>
        <v>-48.948475485291169</v>
      </c>
      <c r="J21" s="271">
        <f t="shared" si="26"/>
        <v>-140.44619819891938</v>
      </c>
      <c r="L21" s="270">
        <f>SUM(L17:L20)</f>
        <v>-146.63636363636363</v>
      </c>
      <c r="M21" s="271">
        <f t="shared" ref="M21:P21" si="27">SUM(M17:M20)</f>
        <v>-261.27659574468083</v>
      </c>
      <c r="N21" s="271">
        <f t="shared" si="27"/>
        <v>-281.54243542435427</v>
      </c>
      <c r="O21" s="271">
        <f t="shared" si="27"/>
        <v>-365.88739946380696</v>
      </c>
      <c r="P21" s="272">
        <f t="shared" si="27"/>
        <v>-560.73950930867511</v>
      </c>
      <c r="Q21" s="273"/>
      <c r="R21" s="271">
        <f t="shared" ref="R21:T21" si="28">SUM(R17:R20)</f>
        <v>-114.64023210831721</v>
      </c>
      <c r="S21" s="271">
        <f t="shared" si="28"/>
        <v>-104.61080371912612</v>
      </c>
      <c r="T21" s="271">
        <f t="shared" si="28"/>
        <v>-194.8521098448681</v>
      </c>
      <c r="U21" s="273"/>
      <c r="V21" s="270">
        <f>SUM(V17:V20)</f>
        <v>-98.103999999999999</v>
      </c>
      <c r="W21" s="271">
        <f t="shared" ref="W21:Z21" si="29">SUM(W17:W20)</f>
        <v>-123.11250000000001</v>
      </c>
      <c r="X21" s="271">
        <f t="shared" si="29"/>
        <v>-132.57708333333346</v>
      </c>
      <c r="Y21" s="271">
        <f t="shared" si="29"/>
        <v>-137.21999999999986</v>
      </c>
      <c r="Z21" s="272">
        <f t="shared" si="29"/>
        <v>-200</v>
      </c>
      <c r="AA21" s="273"/>
      <c r="AB21" s="271">
        <f t="shared" ref="AB21:AD21" si="30">SUM(AB17:AB20)</f>
        <v>-25.008500000000005</v>
      </c>
      <c r="AC21" s="271">
        <f t="shared" si="30"/>
        <v>-14.107499999999867</v>
      </c>
      <c r="AD21" s="271">
        <f t="shared" si="30"/>
        <v>-62.780000000000122</v>
      </c>
      <c r="AE21" s="273"/>
      <c r="AF21" s="270">
        <f>SUM(AF17:AF20)</f>
        <v>-18.492777648068</v>
      </c>
      <c r="AG21" s="271">
        <f t="shared" ref="AG21:AJ21" si="31">SUM(AG17:AG20)</f>
        <v>-40.673481100999396</v>
      </c>
      <c r="AH21" s="271">
        <f t="shared" si="31"/>
        <v>-27.432767225196301</v>
      </c>
      <c r="AI21" s="271">
        <f t="shared" si="31"/>
        <v>-43.997281703567197</v>
      </c>
      <c r="AJ21" s="272">
        <f t="shared" si="31"/>
        <v>0</v>
      </c>
      <c r="AL21" s="271">
        <f t="shared" ref="AL21:AN21" si="32">SUM(AL17:AL20)</f>
        <v>-22.1807034529314</v>
      </c>
      <c r="AM21" s="271">
        <f t="shared" si="32"/>
        <v>-3.3238006025678004</v>
      </c>
      <c r="AN21" s="271">
        <f t="shared" si="32"/>
        <v>0</v>
      </c>
      <c r="AP21" s="270">
        <f>SUM(AP17:AP20)</f>
        <v>-130</v>
      </c>
      <c r="AQ21" s="271">
        <f t="shared" ref="AQ21:AT21" si="33">SUM(AQ17:AQ20)</f>
        <v>-150</v>
      </c>
      <c r="AR21" s="271">
        <f t="shared" si="33"/>
        <v>-210</v>
      </c>
      <c r="AS21" s="271">
        <f t="shared" si="33"/>
        <v>-220</v>
      </c>
      <c r="AT21" s="272">
        <f t="shared" si="33"/>
        <v>0</v>
      </c>
      <c r="AW21" s="270">
        <f>SUM(AW17:AW20)</f>
        <v>0</v>
      </c>
      <c r="AX21" s="271">
        <f t="shared" ref="AX21:BA21" si="34">SUM(AX17:AX20)</f>
        <v>0</v>
      </c>
      <c r="AY21" s="271">
        <f t="shared" si="34"/>
        <v>0</v>
      </c>
      <c r="AZ21" s="271">
        <f t="shared" si="34"/>
        <v>0</v>
      </c>
      <c r="BA21" s="272">
        <f t="shared" si="34"/>
        <v>0</v>
      </c>
    </row>
    <row r="22" spans="1:54" ht="16" thickBot="1" x14ac:dyDescent="0.25"/>
    <row r="23" spans="1:54" s="269" customFormat="1" x14ac:dyDescent="0.2">
      <c r="A23" s="248" t="s">
        <v>116</v>
      </c>
      <c r="B23" s="280">
        <f>+B10+B15+B21</f>
        <v>953.46642991817464</v>
      </c>
      <c r="C23" s="281">
        <f t="shared" ref="C23:F23" si="35">+C10+C15+C21</f>
        <v>1021.0807042650908</v>
      </c>
      <c r="D23" s="281">
        <f t="shared" si="35"/>
        <v>1203.776078490007</v>
      </c>
      <c r="E23" s="281">
        <f t="shared" si="35"/>
        <v>1343.7896368400811</v>
      </c>
      <c r="F23" s="282">
        <f t="shared" si="35"/>
        <v>1441.4719197629147</v>
      </c>
      <c r="G23" s="248"/>
      <c r="H23" s="274">
        <f t="shared" ref="H23:J23" si="36">+H10+H15+H21</f>
        <v>393.95592307072576</v>
      </c>
      <c r="I23" s="274">
        <f t="shared" si="36"/>
        <v>536.30425929879971</v>
      </c>
      <c r="J23" s="274">
        <f t="shared" si="36"/>
        <v>214.4393857799767</v>
      </c>
      <c r="K23" s="248"/>
      <c r="L23" s="280">
        <f>+L10+L15+L21</f>
        <v>831.73123929696965</v>
      </c>
      <c r="M23" s="281">
        <f t="shared" ref="M23:P23" si="37">+M10+M15+M21</f>
        <v>833.91249290293808</v>
      </c>
      <c r="N23" s="281">
        <f t="shared" si="37"/>
        <v>973.50944425183627</v>
      </c>
      <c r="O23" s="281">
        <f t="shared" si="37"/>
        <v>1082.9736802123834</v>
      </c>
      <c r="P23" s="282">
        <f t="shared" si="37"/>
        <v>1175.0676971103726</v>
      </c>
      <c r="Q23" s="252"/>
      <c r="R23" s="274">
        <f t="shared" ref="R23:T23" si="38">+R10+R15+R21</f>
        <v>287.72725360596854</v>
      </c>
      <c r="S23" s="274">
        <f t="shared" si="38"/>
        <v>419.247473023731</v>
      </c>
      <c r="T23" s="274">
        <f t="shared" si="38"/>
        <v>200.05530261227472</v>
      </c>
      <c r="U23" s="252"/>
      <c r="V23" s="280">
        <f>+V10+V15+V21</f>
        <v>875.92982346920212</v>
      </c>
      <c r="W23" s="281">
        <f t="shared" ref="W23:Z23" si="39">+W10+W15+W21</f>
        <v>955.74614319735747</v>
      </c>
      <c r="X23" s="281">
        <f t="shared" si="39"/>
        <v>1073.1836738120592</v>
      </c>
      <c r="Y23" s="281">
        <f t="shared" si="39"/>
        <v>1247.4961928735481</v>
      </c>
      <c r="Z23" s="282">
        <f t="shared" si="39"/>
        <v>1305.202662873548</v>
      </c>
      <c r="AA23" s="252"/>
      <c r="AB23" s="274">
        <f t="shared" ref="AB23:AD23" si="40">+AB10+AB15+AB21</f>
        <v>371.0062545306908</v>
      </c>
      <c r="AC23" s="274">
        <f t="shared" si="40"/>
        <v>447.05532420688149</v>
      </c>
      <c r="AD23" s="274">
        <f t="shared" si="40"/>
        <v>166.3774457991677</v>
      </c>
      <c r="AE23" s="252"/>
      <c r="AF23" s="280">
        <f>+AF10+AF15+AF21</f>
        <v>1018.4791849419754</v>
      </c>
      <c r="AG23" s="281">
        <f t="shared" ref="AG23:AJ23" si="41">+AG10+AG15+AG21</f>
        <v>1113.6191225417244</v>
      </c>
      <c r="AH23" s="281">
        <f t="shared" si="41"/>
        <v>1288.6516210566476</v>
      </c>
      <c r="AI23" s="281">
        <f t="shared" si="41"/>
        <v>1465.9077476309574</v>
      </c>
      <c r="AJ23" s="282">
        <f t="shared" si="41"/>
        <v>0</v>
      </c>
      <c r="AK23" s="248"/>
      <c r="AL23" s="274">
        <f t="shared" ref="AL23:AN23" si="42">+AL10+AL15+AL21</f>
        <v>421.39715546641588</v>
      </c>
      <c r="AM23" s="274">
        <f t="shared" si="42"/>
        <v>561.45966762256626</v>
      </c>
      <c r="AN23" s="274">
        <f t="shared" si="42"/>
        <v>0</v>
      </c>
      <c r="AO23" s="248"/>
      <c r="AP23" s="280">
        <f>+AP10+AP15+AP21</f>
        <v>938.47779592337656</v>
      </c>
      <c r="AQ23" s="281">
        <f t="shared" ref="AQ23:AT23" si="43">+AQ10+AQ15+AQ21</f>
        <v>1152.7984369760572</v>
      </c>
      <c r="AR23" s="281">
        <f t="shared" si="43"/>
        <v>1457.9902216151772</v>
      </c>
      <c r="AS23" s="281">
        <f t="shared" si="43"/>
        <v>1682.3108626678579</v>
      </c>
      <c r="AT23" s="282">
        <f t="shared" si="43"/>
        <v>0</v>
      </c>
      <c r="AU23" s="248"/>
      <c r="AV23" s="248"/>
      <c r="AW23" s="280">
        <f>+AW10+AW15+AW21</f>
        <v>928.41529592337656</v>
      </c>
      <c r="AX23" s="281">
        <f t="shared" ref="AX23:BA23" si="44">+AX10+AX15+AX21</f>
        <v>1072.7359369760572</v>
      </c>
      <c r="AY23" s="281">
        <f t="shared" si="44"/>
        <v>1186.3610549485106</v>
      </c>
      <c r="AZ23" s="281">
        <f t="shared" si="44"/>
        <v>1330.6816960011913</v>
      </c>
      <c r="BA23" s="282">
        <f t="shared" si="44"/>
        <v>0</v>
      </c>
    </row>
    <row r="24" spans="1:54" s="269" customFormat="1" ht="16" thickBot="1" x14ac:dyDescent="0.25">
      <c r="A24" t="s">
        <v>117</v>
      </c>
      <c r="B24" s="275">
        <f>+B23/B7</f>
        <v>0.75671938882394818</v>
      </c>
      <c r="C24" s="276">
        <f>+C23/C7</f>
        <v>0.70908382240631307</v>
      </c>
      <c r="D24" s="276">
        <f>+D23/D7</f>
        <v>0.74307165338889314</v>
      </c>
      <c r="E24" s="276">
        <f>+E23/E7</f>
        <v>0.71099980785189476</v>
      </c>
      <c r="F24" s="277">
        <f>+F23/F7</f>
        <v>0.60693554516333248</v>
      </c>
      <c r="G24" s="232"/>
      <c r="H24" s="276">
        <f>+H23/H7</f>
        <v>0.56279417581532254</v>
      </c>
      <c r="I24" s="276">
        <f>+I23/I7</f>
        <v>0.59589362144311075</v>
      </c>
      <c r="J24" s="276">
        <f>+J23/J7</f>
        <v>0.23826598419997411</v>
      </c>
      <c r="K24" s="232"/>
      <c r="L24" s="275">
        <f>+L23/L7</f>
        <v>0.66010415817219814</v>
      </c>
      <c r="M24" s="276">
        <f>+M23/M7</f>
        <v>0.57910589784926259</v>
      </c>
      <c r="N24" s="276">
        <f>+N23/N7</f>
        <v>0.6009317557110101</v>
      </c>
      <c r="O24" s="276">
        <f>+O23/O7</f>
        <v>0.57300194720231923</v>
      </c>
      <c r="P24" s="277">
        <f>+P23/P7</f>
        <v>0.49476534615173584</v>
      </c>
      <c r="Q24" s="38"/>
      <c r="R24" s="276">
        <f>+R23/R7</f>
        <v>0.41103893372281219</v>
      </c>
      <c r="S24" s="276">
        <f>+S23/S7</f>
        <v>0.46583052558192334</v>
      </c>
      <c r="T24" s="276">
        <f>+T23/T7</f>
        <v>0.22228366956919413</v>
      </c>
      <c r="U24" s="38"/>
      <c r="V24" s="275">
        <f>+V23/V7</f>
        <v>0.69518239957873185</v>
      </c>
      <c r="W24" s="276">
        <f>+W23/W7</f>
        <v>0.66371259944260941</v>
      </c>
      <c r="X24" s="276">
        <f>+X23/X7</f>
        <v>0.66245905790867854</v>
      </c>
      <c r="Y24" s="276">
        <f>+Y23/Y7</f>
        <v>0.66005089570028996</v>
      </c>
      <c r="Z24" s="277">
        <f>+Z23/Z7</f>
        <v>0.54955901594675705</v>
      </c>
      <c r="AA24" s="232"/>
      <c r="AB24" s="276">
        <f>+AB23/AB7</f>
        <v>0.53000893504384394</v>
      </c>
      <c r="AC24" s="276">
        <f>+AC23/AC7</f>
        <v>0.49672813800764609</v>
      </c>
      <c r="AD24" s="276">
        <f>+AD23/AD7</f>
        <v>0.18486382866574189</v>
      </c>
      <c r="AE24" s="232"/>
      <c r="AF24" s="275">
        <f>+AF23/AF7</f>
        <v>0.80831681344601225</v>
      </c>
      <c r="AG24" s="276">
        <f>+AG23/AG7</f>
        <v>0.77334661287619755</v>
      </c>
      <c r="AH24" s="276">
        <f>+AH23/AH7</f>
        <v>0.79546396361521454</v>
      </c>
      <c r="AI24" s="276">
        <f>+AI23/AI7</f>
        <v>0.77561256488410446</v>
      </c>
      <c r="AJ24" s="277" t="e">
        <f>+AJ23/AJ7</f>
        <v>#DIV/0!</v>
      </c>
      <c r="AK24"/>
      <c r="AL24" s="276">
        <f>+AL23/AL7</f>
        <v>0.60199593638059412</v>
      </c>
      <c r="AM24" s="276">
        <f>+AM23/AM7</f>
        <v>0.62384407513618478</v>
      </c>
      <c r="AN24" s="276" t="e">
        <f>+AN23/AN7</f>
        <v>#DIV/0!</v>
      </c>
      <c r="AO24"/>
      <c r="AP24" s="275">
        <f>+AP23/AP7</f>
        <v>0.69983429971914735</v>
      </c>
      <c r="AQ24" s="276">
        <f>+AQ23/AQ7</f>
        <v>0.71557941463442409</v>
      </c>
      <c r="AR24" s="276">
        <f>+AR23/AR7</f>
        <v>0.73972106626848155</v>
      </c>
      <c r="AS24" s="276">
        <f>+AS23/AS7</f>
        <v>0.75069650275227928</v>
      </c>
      <c r="AT24" s="277" t="e">
        <f>+AT23/AT7</f>
        <v>#DIV/0!</v>
      </c>
      <c r="AU24"/>
      <c r="AV24"/>
      <c r="AW24" s="275">
        <f>+AW23/AW7</f>
        <v>0.94639683580364586</v>
      </c>
      <c r="AX24" s="276">
        <f>+AX23/AX7</f>
        <v>0.92397582857541538</v>
      </c>
      <c r="AY24" s="276">
        <f>+AY23/AY7</f>
        <v>0.94833017981495649</v>
      </c>
      <c r="AZ24" s="276">
        <f>+AZ23/AZ7</f>
        <v>0.92989636338308268</v>
      </c>
      <c r="BA24" s="277" t="e">
        <f>+BA23/BA7</f>
        <v>#DIV/0!</v>
      </c>
    </row>
    <row r="26" spans="1:54" s="278" customFormat="1" x14ac:dyDescent="0.2">
      <c r="A26" s="278" t="s">
        <v>118</v>
      </c>
      <c r="B26" s="278">
        <v>-86.086141367323293</v>
      </c>
      <c r="C26" s="278">
        <v>-86.086141367323293</v>
      </c>
      <c r="D26" s="278">
        <v>-86.086141367323293</v>
      </c>
      <c r="E26" s="278">
        <v>-86.086141367323293</v>
      </c>
      <c r="F26" s="278">
        <v>-86.086141367323293</v>
      </c>
      <c r="G26" s="278" t="s">
        <v>119</v>
      </c>
      <c r="H26" s="278">
        <v>-86.086141367323293</v>
      </c>
      <c r="I26" s="278">
        <v>-86.086141367323293</v>
      </c>
      <c r="J26" s="278">
        <v>-86.086141367323293</v>
      </c>
      <c r="L26" s="278">
        <v>-132.52832861806311</v>
      </c>
      <c r="M26" s="278">
        <v>-132.52832861806311</v>
      </c>
      <c r="N26" s="278">
        <v>-132.52832861806311</v>
      </c>
      <c r="O26" s="278">
        <v>-132.52832861806311</v>
      </c>
      <c r="P26" s="278">
        <v>-132.52832861806311</v>
      </c>
      <c r="Q26" s="278" t="s">
        <v>120</v>
      </c>
      <c r="R26" s="278">
        <v>-132.52832861806311</v>
      </c>
      <c r="S26" s="278">
        <v>-132.52832861806311</v>
      </c>
      <c r="T26" s="278">
        <v>-132.52832861806311</v>
      </c>
      <c r="V26" s="278">
        <v>-176.50729344262297</v>
      </c>
      <c r="W26" s="278">
        <v>-176.50729344262297</v>
      </c>
      <c r="X26" s="278">
        <v>-176.50729344262297</v>
      </c>
      <c r="Y26" s="278">
        <v>-176.50729344262297</v>
      </c>
      <c r="Z26" s="278">
        <v>-176.50729344262297</v>
      </c>
      <c r="AA26" s="278" t="s">
        <v>120</v>
      </c>
      <c r="AB26" s="278">
        <v>-176.50729344262297</v>
      </c>
      <c r="AC26" s="278">
        <v>-176.50729344262297</v>
      </c>
      <c r="AD26" s="278">
        <v>-176.50729344262297</v>
      </c>
      <c r="AF26" s="278">
        <v>-120.9126168224299</v>
      </c>
      <c r="AG26" s="278">
        <v>-120.9126168224299</v>
      </c>
      <c r="AH26" s="278">
        <v>-120.9126168224299</v>
      </c>
      <c r="AI26" s="278">
        <v>-120.9126168224299</v>
      </c>
      <c r="AK26" s="278" t="s">
        <v>121</v>
      </c>
      <c r="AL26" s="278">
        <v>-120.9126168224299</v>
      </c>
      <c r="AM26" s="278">
        <v>-120.9126168224299</v>
      </c>
      <c r="AP26" s="278">
        <v>-180</v>
      </c>
      <c r="AQ26" s="278">
        <v>-180</v>
      </c>
      <c r="AR26" s="278">
        <v>-180</v>
      </c>
      <c r="AS26" s="278">
        <v>-180</v>
      </c>
      <c r="AT26" s="278">
        <v>-180</v>
      </c>
      <c r="AU26" s="278" t="s">
        <v>121</v>
      </c>
      <c r="AW26" s="278">
        <v>-261.54499999999996</v>
      </c>
      <c r="AX26" s="278">
        <v>-261.54499999999996</v>
      </c>
      <c r="AY26" s="278">
        <v>-261.54499999999996</v>
      </c>
      <c r="AZ26" s="278">
        <v>-261.54499999999996</v>
      </c>
      <c r="BA26" s="278">
        <v>-261.54499999999996</v>
      </c>
      <c r="BB26" s="278" t="s">
        <v>121</v>
      </c>
    </row>
    <row r="27" spans="1:54" s="278" customFormat="1" x14ac:dyDescent="0.2">
      <c r="A27" s="278" t="s">
        <v>122</v>
      </c>
      <c r="B27" s="278">
        <v>-149.139820114473</v>
      </c>
      <c r="C27" s="278">
        <v>-149.139820114473</v>
      </c>
      <c r="D27" s="278">
        <v>-149.139820114473</v>
      </c>
      <c r="E27" s="278">
        <v>-149.139820114473</v>
      </c>
      <c r="F27" s="278">
        <v>-149.139820114473</v>
      </c>
      <c r="H27" s="278">
        <v>-149.139820114473</v>
      </c>
      <c r="I27" s="278">
        <v>-149.139820114473</v>
      </c>
      <c r="J27" s="278">
        <v>-149.139820114473</v>
      </c>
      <c r="L27" s="278">
        <v>-140.95254842219805</v>
      </c>
      <c r="M27" s="278">
        <v>-140.95254842219805</v>
      </c>
      <c r="N27" s="278">
        <v>-140.95254842219805</v>
      </c>
      <c r="O27" s="278">
        <v>-140.95254842219805</v>
      </c>
      <c r="P27" s="278">
        <v>-140.95254842219805</v>
      </c>
      <c r="R27" s="278">
        <v>-140.95254842219805</v>
      </c>
      <c r="S27" s="278">
        <v>-140.95254842219805</v>
      </c>
      <c r="T27" s="278">
        <v>-140.95254842219805</v>
      </c>
      <c r="V27" s="278">
        <v>-263.93032786885198</v>
      </c>
      <c r="W27" s="278">
        <v>-263.93032786885198</v>
      </c>
      <c r="X27" s="278">
        <v>-263.93032786885198</v>
      </c>
      <c r="Y27" s="278">
        <v>-263.93032786885198</v>
      </c>
      <c r="Z27" s="278">
        <v>-263.93032786885198</v>
      </c>
      <c r="AB27" s="278">
        <v>-263.93032786885198</v>
      </c>
      <c r="AC27" s="278">
        <v>-263.93032786885198</v>
      </c>
      <c r="AD27" s="278">
        <v>-263.93032786885198</v>
      </c>
      <c r="AF27" s="278">
        <v>-149.139820114473</v>
      </c>
      <c r="AG27" s="278">
        <v>-149.139820114473</v>
      </c>
      <c r="AH27" s="278">
        <v>-149.139820114473</v>
      </c>
      <c r="AI27" s="278">
        <v>-149.139820114473</v>
      </c>
      <c r="AL27" s="278">
        <v>-149.139820114473</v>
      </c>
      <c r="AM27" s="278">
        <v>-149.139820114473</v>
      </c>
      <c r="AP27" s="278">
        <v>-149.139820114473</v>
      </c>
      <c r="AQ27" s="278">
        <v>-149.139820114473</v>
      </c>
      <c r="AR27" s="278">
        <v>-149.139820114473</v>
      </c>
      <c r="AS27" s="278">
        <v>-149.139820114473</v>
      </c>
      <c r="AT27" s="278">
        <v>-149.139820114473</v>
      </c>
      <c r="AW27" s="278">
        <v>-149.139820114473</v>
      </c>
      <c r="AX27" s="278">
        <v>-149.139820114473</v>
      </c>
      <c r="AY27" s="278">
        <v>-149.139820114473</v>
      </c>
      <c r="AZ27" s="278">
        <v>-149.139820114473</v>
      </c>
      <c r="BA27" s="278">
        <v>-149.139820114473</v>
      </c>
    </row>
    <row r="28" spans="1:54" s="278" customFormat="1" ht="16" thickBot="1" x14ac:dyDescent="0.25"/>
    <row r="29" spans="1:54" s="253" customFormat="1" x14ac:dyDescent="0.2">
      <c r="A29" s="253" t="s">
        <v>124</v>
      </c>
      <c r="B29" s="254">
        <f>+B9+B15+B21+B26+B27</f>
        <v>-541.75953156362175</v>
      </c>
      <c r="C29" s="254">
        <f>+C9+C15+C21+C26+C27</f>
        <v>-654.14525721670555</v>
      </c>
      <c r="D29" s="254">
        <f>+D9+D15+D21+D26+D27</f>
        <v>-651.4498829917892</v>
      </c>
      <c r="E29" s="254">
        <f>+E9+E15+E21+E26+E27</f>
        <v>-781.43632464171526</v>
      </c>
      <c r="F29" s="254">
        <f>+F9+F15+F21+F26+F27</f>
        <v>-1168.7540417188816</v>
      </c>
      <c r="H29" s="254">
        <f>+H9+H15+H21+H26+H27</f>
        <v>-541.27003841107057</v>
      </c>
      <c r="I29" s="254">
        <f>+I9+I15+I21+I26+I27</f>
        <v>-598.92170218299657</v>
      </c>
      <c r="J29" s="254">
        <f>+J9+J15+J21+J26+J27</f>
        <v>-920.78657570181963</v>
      </c>
      <c r="L29" s="254">
        <f>+L9+L15+L21+L26+L27</f>
        <v>-701.74963774329149</v>
      </c>
      <c r="M29" s="254">
        <f>+M9+M15+M21+M26+M27</f>
        <v>-879.56838413732294</v>
      </c>
      <c r="N29" s="254">
        <f>+N9+N15+N21+N26+N27</f>
        <v>-919.97143278842509</v>
      </c>
      <c r="O29" s="254">
        <f>+O9+O15+O21+O26+O27</f>
        <v>-1080.5071968278778</v>
      </c>
      <c r="P29" s="254">
        <f>+P9+P15+P21+P26+P27</f>
        <v>-1473.4131799298887</v>
      </c>
      <c r="Q29" s="255"/>
      <c r="R29" s="254">
        <f>+R9+R15+R21+R26+R27</f>
        <v>-685.75362343429265</v>
      </c>
      <c r="S29" s="254">
        <f>+S9+S15+S21+S26+S27</f>
        <v>-754.23340401653013</v>
      </c>
      <c r="T29" s="254">
        <f>+T9+T15+T21+T26+T27</f>
        <v>-973.42557442798648</v>
      </c>
      <c r="U29" s="255"/>
      <c r="V29" s="254">
        <f>+V9+V15+V21+V26+V27</f>
        <v>-824.50779784227279</v>
      </c>
      <c r="W29" s="254">
        <f>+W9+W15+W21+W26+W27</f>
        <v>-924.69147811411744</v>
      </c>
      <c r="X29" s="254">
        <f>+X9+X15+X21+X26+X27</f>
        <v>-987.25394749941574</v>
      </c>
      <c r="Y29" s="254">
        <f>+Y9+Y15+Y21+Y26+Y27</f>
        <v>-1082.9414284379268</v>
      </c>
      <c r="Z29" s="254">
        <f>+Z9+Z15+Z21+Z26+Z27</f>
        <v>-1510.2349584379269</v>
      </c>
      <c r="AA29" s="255"/>
      <c r="AB29" s="254">
        <f>+AB9+AB15+AB21+AB26+AB27</f>
        <v>-769.43136678078417</v>
      </c>
      <c r="AC29" s="254">
        <f>+AC9+AC15+AC21+AC26+AC27</f>
        <v>-893.38229710459336</v>
      </c>
      <c r="AD29" s="254">
        <f>+AD9+AD15+AD21+AD26+AD27</f>
        <v>-1174.0601755123073</v>
      </c>
      <c r="AE29" s="255"/>
      <c r="AF29" s="254">
        <f>+AF9+AF15+AF21+AF26+AF27</f>
        <v>-511.57325199492755</v>
      </c>
      <c r="AG29" s="254">
        <f>+AG9+AG15+AG21+AG26+AG27</f>
        <v>-596.43331439517829</v>
      </c>
      <c r="AH29" s="254">
        <f>+AH9+AH15+AH21+AH26+AH27</f>
        <v>-601.40081588025521</v>
      </c>
      <c r="AI29" s="254">
        <f>+AI9+AI15+AI21+AI26+AI27</f>
        <v>-694.14468930594546</v>
      </c>
      <c r="AJ29" s="254">
        <f>+AJ9+AJ15+AJ21+AJ26+AJ27</f>
        <v>0</v>
      </c>
      <c r="AL29" s="254">
        <f>+AL9+AL15+AL21+AL26+AL27</f>
        <v>-548.65528147048701</v>
      </c>
      <c r="AM29" s="254">
        <f>+AM9+AM15+AM21+AM26+AM27</f>
        <v>-608.59276931433669</v>
      </c>
      <c r="AN29" s="254">
        <f>+AN9+AN15+AN21+AN26+AN27</f>
        <v>0</v>
      </c>
      <c r="AP29" s="254">
        <f>+AP9+AP15+AP21+AP26+AP27</f>
        <v>-731.66202419109641</v>
      </c>
      <c r="AQ29" s="254">
        <f>+AQ9+AQ15+AQ21+AQ26+AQ27</f>
        <v>-787.34138313841572</v>
      </c>
      <c r="AR29" s="254">
        <f>+AR9+AR15+AR21+AR26+AR27</f>
        <v>-842.14959849929573</v>
      </c>
      <c r="AS29" s="254">
        <f>+AS9+AS15+AS21+AS26+AS27</f>
        <v>-887.82895744661505</v>
      </c>
      <c r="AT29" s="254">
        <f>+AT9+AT15+AT21+AT26+AT27</f>
        <v>-329.13982011447297</v>
      </c>
      <c r="AW29" s="254">
        <f>+AW9+AW15+AW21+AW26+AW27</f>
        <v>-463.26952419109637</v>
      </c>
      <c r="AX29" s="254">
        <f>+AX9+AX15+AX21+AX26+AX27</f>
        <v>-498.94888313841568</v>
      </c>
      <c r="AY29" s="254">
        <f>+AY9+AY15+AY21+AY26+AY27</f>
        <v>-475.3237651659623</v>
      </c>
      <c r="AZ29" s="254">
        <f>+AZ9+AZ15+AZ21+AZ26+AZ27</f>
        <v>-511.00312411328161</v>
      </c>
      <c r="BA29" s="254">
        <f>+BA9+BA15+BA21+BA26+BA27</f>
        <v>-410.68482011447293</v>
      </c>
    </row>
    <row r="30" spans="1:54" x14ac:dyDescent="0.2">
      <c r="P30" s="232"/>
    </row>
    <row r="31" spans="1:54" x14ac:dyDescent="0.2">
      <c r="P31" s="232"/>
      <c r="V31" s="37">
        <f>+V15+V27</f>
        <v>-360.89650439964981</v>
      </c>
      <c r="AC31" s="37">
        <f>+AC15+AC27</f>
        <v>-419.26750366197064</v>
      </c>
    </row>
    <row r="32" spans="1:54" x14ac:dyDescent="0.2">
      <c r="P32" s="232"/>
    </row>
    <row r="33" spans="16:16" x14ac:dyDescent="0.2">
      <c r="P33" s="232"/>
    </row>
  </sheetData>
  <mergeCells count="6">
    <mergeCell ref="AW3:BA3"/>
    <mergeCell ref="B3:F3"/>
    <mergeCell ref="L3:P3"/>
    <mergeCell ref="V3:Z3"/>
    <mergeCell ref="AF3:AJ3"/>
    <mergeCell ref="AP3:AT3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F5DF-2663-4D03-8B58-0E7C222DA50A}">
  <dimension ref="A1:M35"/>
  <sheetViews>
    <sheetView workbookViewId="0">
      <selection activeCell="S19" sqref="S19"/>
    </sheetView>
  </sheetViews>
  <sheetFormatPr baseColWidth="10" defaultColWidth="8.83203125" defaultRowHeight="15" x14ac:dyDescent="0.2"/>
  <cols>
    <col min="1" max="1" width="15.5" bestFit="1" customWidth="1"/>
    <col min="7" max="8" width="8.83203125" customWidth="1"/>
    <col min="9" max="9" width="9.1640625" customWidth="1"/>
    <col min="10" max="10" width="10.6640625" customWidth="1"/>
    <col min="11" max="11" width="8.83203125" customWidth="1"/>
    <col min="12" max="12" width="12.83203125" customWidth="1"/>
    <col min="13" max="13" width="15.5" bestFit="1" customWidth="1"/>
  </cols>
  <sheetData>
    <row r="1" spans="1:13" x14ac:dyDescent="0.2">
      <c r="A1" t="s">
        <v>25</v>
      </c>
    </row>
    <row r="3" spans="1:13" x14ac:dyDescent="0.2">
      <c r="A3" s="13" t="s">
        <v>12</v>
      </c>
      <c r="B3" s="10" t="s">
        <v>29</v>
      </c>
      <c r="C3" s="10" t="s">
        <v>14</v>
      </c>
      <c r="D3" s="10" t="s">
        <v>15</v>
      </c>
      <c r="E3" s="10" t="s">
        <v>16</v>
      </c>
      <c r="F3" s="10" t="s">
        <v>1</v>
      </c>
      <c r="G3" s="6" t="s">
        <v>2</v>
      </c>
      <c r="H3" s="6" t="s">
        <v>3</v>
      </c>
      <c r="I3" s="6" t="s">
        <v>4</v>
      </c>
      <c r="J3" s="6" t="s">
        <v>5</v>
      </c>
      <c r="K3" s="6" t="s">
        <v>6</v>
      </c>
      <c r="L3" s="9" t="s">
        <v>27</v>
      </c>
      <c r="M3" s="9" t="s">
        <v>12</v>
      </c>
    </row>
    <row r="4" spans="1:13" x14ac:dyDescent="0.2">
      <c r="A4" s="13" t="s">
        <v>26</v>
      </c>
      <c r="B4" s="10">
        <f>+G4</f>
        <v>1400</v>
      </c>
      <c r="C4" s="10">
        <f>+H4-G4</f>
        <v>200</v>
      </c>
      <c r="D4" s="10">
        <f>+I4-B4</f>
        <v>400</v>
      </c>
      <c r="E4" s="10">
        <f>+J4-H4</f>
        <v>500</v>
      </c>
      <c r="F4" s="10">
        <f>+K4-J4</f>
        <v>400</v>
      </c>
      <c r="G4" s="6">
        <v>1400</v>
      </c>
      <c r="H4" s="6">
        <v>1600</v>
      </c>
      <c r="I4" s="6">
        <v>1800</v>
      </c>
      <c r="J4" s="6">
        <v>2100</v>
      </c>
      <c r="K4" s="6">
        <v>2500</v>
      </c>
      <c r="L4" s="9" t="s">
        <v>10</v>
      </c>
      <c r="M4" s="9" t="s">
        <v>13</v>
      </c>
    </row>
    <row r="5" spans="1:13" x14ac:dyDescent="0.2">
      <c r="A5" s="5" t="s">
        <v>24</v>
      </c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  <c r="G5" s="4" t="s">
        <v>0</v>
      </c>
      <c r="H5" s="4" t="s">
        <v>0</v>
      </c>
      <c r="I5" s="4" t="s">
        <v>0</v>
      </c>
      <c r="J5" s="4" t="s">
        <v>0</v>
      </c>
      <c r="K5" s="4" t="s">
        <v>0</v>
      </c>
      <c r="L5" s="11">
        <v>1</v>
      </c>
      <c r="M5" s="12" t="s">
        <v>11</v>
      </c>
    </row>
    <row r="6" spans="1:13" x14ac:dyDescent="0.2">
      <c r="A6" s="5" t="s">
        <v>2</v>
      </c>
      <c r="B6" s="15" t="b">
        <v>1</v>
      </c>
      <c r="C6" s="15" t="b">
        <v>0</v>
      </c>
      <c r="D6" s="15" t="b">
        <v>0</v>
      </c>
      <c r="E6" s="15" t="b">
        <v>0</v>
      </c>
      <c r="F6" s="15" t="b">
        <v>0</v>
      </c>
      <c r="G6" s="16">
        <f>+G4</f>
        <v>1400</v>
      </c>
      <c r="H6" s="17" t="s">
        <v>0</v>
      </c>
      <c r="I6" s="17" t="s">
        <v>0</v>
      </c>
      <c r="J6" s="17" t="s">
        <v>0</v>
      </c>
      <c r="K6" s="17" t="s">
        <v>0</v>
      </c>
      <c r="L6" s="5">
        <f>+B4</f>
        <v>1400</v>
      </c>
      <c r="M6" s="5" t="s">
        <v>2</v>
      </c>
    </row>
    <row r="7" spans="1:13" x14ac:dyDescent="0.2">
      <c r="A7" s="5" t="s">
        <v>3</v>
      </c>
      <c r="B7" s="15" t="b">
        <v>1</v>
      </c>
      <c r="C7" s="15" t="b">
        <v>1</v>
      </c>
      <c r="D7" s="15" t="b">
        <v>0</v>
      </c>
      <c r="E7" s="15" t="b">
        <v>0</v>
      </c>
      <c r="F7" s="15" t="b">
        <v>0</v>
      </c>
      <c r="G7" s="17" t="s">
        <v>0</v>
      </c>
      <c r="H7" s="16">
        <f>+H4</f>
        <v>1600</v>
      </c>
      <c r="I7" s="17" t="s">
        <v>0</v>
      </c>
      <c r="J7" s="17" t="s">
        <v>0</v>
      </c>
      <c r="K7" s="17" t="s">
        <v>0</v>
      </c>
      <c r="L7" s="5">
        <f>+B4+C4</f>
        <v>1600</v>
      </c>
      <c r="M7" s="5" t="s">
        <v>3</v>
      </c>
    </row>
    <row r="8" spans="1:13" x14ac:dyDescent="0.2">
      <c r="A8" s="2" t="s">
        <v>3</v>
      </c>
      <c r="B8" s="3" t="b">
        <v>1</v>
      </c>
      <c r="C8" s="3" t="b">
        <v>0</v>
      </c>
      <c r="D8" s="3" t="b">
        <v>0</v>
      </c>
      <c r="E8" s="3" t="b">
        <v>0</v>
      </c>
      <c r="F8" s="3" t="b">
        <v>0</v>
      </c>
      <c r="G8" s="4" t="s">
        <v>0</v>
      </c>
      <c r="H8" s="1">
        <f>+H7</f>
        <v>1600</v>
      </c>
      <c r="I8" s="4" t="s">
        <v>0</v>
      </c>
      <c r="J8" s="4" t="s">
        <v>0</v>
      </c>
      <c r="K8" s="4" t="s">
        <v>0</v>
      </c>
      <c r="L8" s="8">
        <f>+B4</f>
        <v>1400</v>
      </c>
      <c r="M8" s="8" t="s">
        <v>2</v>
      </c>
    </row>
    <row r="9" spans="1:13" x14ac:dyDescent="0.2">
      <c r="A9" s="2" t="s">
        <v>3</v>
      </c>
      <c r="B9" s="3" t="b">
        <v>0</v>
      </c>
      <c r="C9" s="3" t="b">
        <v>1</v>
      </c>
      <c r="D9" s="3" t="b">
        <v>0</v>
      </c>
      <c r="E9" s="3" t="b">
        <v>0</v>
      </c>
      <c r="F9" s="3" t="b">
        <v>0</v>
      </c>
      <c r="G9" s="4" t="s">
        <v>0</v>
      </c>
      <c r="H9" s="1">
        <f>+H8</f>
        <v>1600</v>
      </c>
      <c r="I9" s="4" t="s">
        <v>0</v>
      </c>
      <c r="J9" s="4" t="s">
        <v>0</v>
      </c>
      <c r="K9" s="4" t="s">
        <v>0</v>
      </c>
      <c r="L9" s="11">
        <f>+C4</f>
        <v>200</v>
      </c>
      <c r="M9" s="11" t="s">
        <v>14</v>
      </c>
    </row>
    <row r="10" spans="1:13" x14ac:dyDescent="0.2">
      <c r="A10" s="5" t="s">
        <v>7</v>
      </c>
      <c r="B10" s="15" t="b">
        <v>1</v>
      </c>
      <c r="C10" s="15" t="b">
        <v>0</v>
      </c>
      <c r="D10" s="15" t="b">
        <v>1</v>
      </c>
      <c r="E10" s="15" t="b">
        <v>0</v>
      </c>
      <c r="F10" s="15" t="b">
        <v>0</v>
      </c>
      <c r="G10" s="17" t="s">
        <v>0</v>
      </c>
      <c r="H10" s="17" t="s">
        <v>0</v>
      </c>
      <c r="I10" s="16">
        <f>+I4</f>
        <v>1800</v>
      </c>
      <c r="J10" s="17" t="s">
        <v>0</v>
      </c>
      <c r="K10" s="17" t="s">
        <v>0</v>
      </c>
      <c r="L10" s="5">
        <f>+B4+D4</f>
        <v>1800</v>
      </c>
      <c r="M10" s="5" t="s">
        <v>7</v>
      </c>
    </row>
    <row r="11" spans="1:13" x14ac:dyDescent="0.2">
      <c r="A11" s="2" t="s">
        <v>7</v>
      </c>
      <c r="B11" s="3" t="b">
        <v>1</v>
      </c>
      <c r="C11" s="3" t="b">
        <v>0</v>
      </c>
      <c r="D11" s="3" t="b">
        <v>0</v>
      </c>
      <c r="E11" s="3" t="b">
        <v>0</v>
      </c>
      <c r="F11" s="3" t="b">
        <v>0</v>
      </c>
      <c r="G11" s="4" t="s">
        <v>0</v>
      </c>
      <c r="H11" s="4" t="s">
        <v>0</v>
      </c>
      <c r="I11" s="1">
        <f>+I10</f>
        <v>1800</v>
      </c>
      <c r="J11" s="4" t="s">
        <v>0</v>
      </c>
      <c r="K11" s="4" t="s">
        <v>0</v>
      </c>
      <c r="L11" s="8">
        <f>+B4</f>
        <v>1400</v>
      </c>
      <c r="M11" s="8" t="s">
        <v>2</v>
      </c>
    </row>
    <row r="12" spans="1:13" x14ac:dyDescent="0.2">
      <c r="A12" s="2" t="s">
        <v>7</v>
      </c>
      <c r="B12" s="3" t="b">
        <v>0</v>
      </c>
      <c r="C12" s="3" t="b">
        <v>0</v>
      </c>
      <c r="D12" s="3" t="b">
        <v>1</v>
      </c>
      <c r="E12" s="3" t="b">
        <v>0</v>
      </c>
      <c r="F12" s="3" t="b">
        <v>0</v>
      </c>
      <c r="G12" s="4" t="s">
        <v>0</v>
      </c>
      <c r="H12" s="4" t="s">
        <v>0</v>
      </c>
      <c r="I12" s="1">
        <f>+I11</f>
        <v>1800</v>
      </c>
      <c r="J12" s="4" t="s">
        <v>0</v>
      </c>
      <c r="K12" s="4" t="s">
        <v>0</v>
      </c>
      <c r="L12" s="11">
        <f>+D4</f>
        <v>400</v>
      </c>
      <c r="M12" s="11" t="s">
        <v>15</v>
      </c>
    </row>
    <row r="13" spans="1:13" x14ac:dyDescent="0.2">
      <c r="A13" s="5" t="s">
        <v>8</v>
      </c>
      <c r="B13" s="15" t="b">
        <v>1</v>
      </c>
      <c r="C13" s="15" t="b">
        <v>1</v>
      </c>
      <c r="D13" s="15" t="b">
        <v>1</v>
      </c>
      <c r="E13" s="15" t="b">
        <v>0</v>
      </c>
      <c r="F13" s="15" t="b">
        <v>0</v>
      </c>
      <c r="G13" s="17" t="s">
        <v>0</v>
      </c>
      <c r="H13" s="17" t="s">
        <v>0</v>
      </c>
      <c r="I13" s="17" t="s">
        <v>0</v>
      </c>
      <c r="J13" s="16">
        <f>+J4</f>
        <v>2100</v>
      </c>
      <c r="K13" s="17" t="s">
        <v>0</v>
      </c>
      <c r="L13" s="5">
        <f>+B4+C4+E4</f>
        <v>2100</v>
      </c>
      <c r="M13" s="5" t="s">
        <v>8</v>
      </c>
    </row>
    <row r="14" spans="1:13" x14ac:dyDescent="0.2">
      <c r="A14" s="2" t="s">
        <v>8</v>
      </c>
      <c r="B14" s="3" t="b">
        <v>1</v>
      </c>
      <c r="C14" s="3" t="b">
        <v>0</v>
      </c>
      <c r="D14" s="3" t="b">
        <v>0</v>
      </c>
      <c r="E14" s="3" t="b">
        <v>0</v>
      </c>
      <c r="F14" s="3" t="b">
        <v>0</v>
      </c>
      <c r="G14" s="4" t="s">
        <v>0</v>
      </c>
      <c r="H14" s="4" t="s">
        <v>0</v>
      </c>
      <c r="I14" s="4" t="s">
        <v>0</v>
      </c>
      <c r="J14" s="1">
        <f>+J13</f>
        <v>2100</v>
      </c>
      <c r="K14" s="4" t="s">
        <v>0</v>
      </c>
      <c r="L14" s="8">
        <f>+B4</f>
        <v>1400</v>
      </c>
      <c r="M14" s="8" t="s">
        <v>2</v>
      </c>
    </row>
    <row r="15" spans="1:13" x14ac:dyDescent="0.2">
      <c r="A15" s="2" t="s">
        <v>8</v>
      </c>
      <c r="B15" s="3" t="b">
        <v>1</v>
      </c>
      <c r="C15" s="3" t="b">
        <v>1</v>
      </c>
      <c r="D15" s="3" t="b">
        <v>0</v>
      </c>
      <c r="E15" s="3" t="b">
        <v>0</v>
      </c>
      <c r="F15" s="3" t="b">
        <v>0</v>
      </c>
      <c r="G15" s="4" t="s">
        <v>0</v>
      </c>
      <c r="H15" s="4" t="s">
        <v>0</v>
      </c>
      <c r="I15" s="4" t="s">
        <v>0</v>
      </c>
      <c r="J15" s="1">
        <f t="shared" ref="J15:J19" si="0">+J14</f>
        <v>2100</v>
      </c>
      <c r="K15" s="4" t="s">
        <v>0</v>
      </c>
      <c r="L15" s="8">
        <f>+B4+C4</f>
        <v>1600</v>
      </c>
      <c r="M15" s="8" t="s">
        <v>3</v>
      </c>
    </row>
    <row r="16" spans="1:13" x14ac:dyDescent="0.2">
      <c r="A16" s="2" t="s">
        <v>8</v>
      </c>
      <c r="B16" s="3" t="b">
        <v>1</v>
      </c>
      <c r="C16" s="3" t="b">
        <v>0</v>
      </c>
      <c r="D16" s="3" t="b">
        <v>1</v>
      </c>
      <c r="E16" s="3" t="b">
        <v>0</v>
      </c>
      <c r="F16" s="3" t="b">
        <v>0</v>
      </c>
      <c r="G16" s="4" t="s">
        <v>0</v>
      </c>
      <c r="H16" s="4" t="s">
        <v>0</v>
      </c>
      <c r="I16" s="4" t="s">
        <v>0</v>
      </c>
      <c r="J16" s="1">
        <f t="shared" si="0"/>
        <v>2100</v>
      </c>
      <c r="K16" s="4" t="s">
        <v>0</v>
      </c>
      <c r="L16" s="8">
        <f>+B4+D4</f>
        <v>1800</v>
      </c>
      <c r="M16" s="8" t="s">
        <v>7</v>
      </c>
    </row>
    <row r="17" spans="1:13" x14ac:dyDescent="0.2">
      <c r="A17" s="2" t="s">
        <v>8</v>
      </c>
      <c r="B17" s="3" t="b">
        <v>0</v>
      </c>
      <c r="C17" s="3" t="b">
        <v>1</v>
      </c>
      <c r="D17" s="3" t="b">
        <v>0</v>
      </c>
      <c r="E17" s="3" t="b">
        <v>0</v>
      </c>
      <c r="F17" s="3" t="b">
        <v>0</v>
      </c>
      <c r="G17" s="4" t="s">
        <v>0</v>
      </c>
      <c r="H17" s="4" t="s">
        <v>0</v>
      </c>
      <c r="I17" s="4" t="s">
        <v>0</v>
      </c>
      <c r="J17" s="1">
        <f t="shared" si="0"/>
        <v>2100</v>
      </c>
      <c r="K17" s="4" t="s">
        <v>0</v>
      </c>
      <c r="L17" s="11">
        <f>+C4</f>
        <v>200</v>
      </c>
      <c r="M17" s="11" t="s">
        <v>14</v>
      </c>
    </row>
    <row r="18" spans="1:13" x14ac:dyDescent="0.2">
      <c r="A18" s="2" t="s">
        <v>8</v>
      </c>
      <c r="B18" s="3" t="b">
        <v>0</v>
      </c>
      <c r="C18" s="3" t="b">
        <v>1</v>
      </c>
      <c r="D18" s="3" t="b">
        <v>0</v>
      </c>
      <c r="E18" s="3" t="b">
        <v>1</v>
      </c>
      <c r="F18" s="3" t="b">
        <v>0</v>
      </c>
      <c r="G18" s="4" t="s">
        <v>0</v>
      </c>
      <c r="H18" s="4" t="s">
        <v>0</v>
      </c>
      <c r="I18" s="4" t="s">
        <v>0</v>
      </c>
      <c r="J18" s="1">
        <f t="shared" si="0"/>
        <v>2100</v>
      </c>
      <c r="K18" s="4" t="s">
        <v>0</v>
      </c>
      <c r="L18" s="11">
        <f>+E4+C4</f>
        <v>700</v>
      </c>
      <c r="M18" s="11" t="s">
        <v>17</v>
      </c>
    </row>
    <row r="19" spans="1:13" x14ac:dyDescent="0.2">
      <c r="A19" s="2" t="s">
        <v>8</v>
      </c>
      <c r="B19" s="3" t="b">
        <v>0</v>
      </c>
      <c r="C19" s="3" t="b">
        <v>0</v>
      </c>
      <c r="D19" s="3" t="b">
        <v>0</v>
      </c>
      <c r="E19" s="3" t="b">
        <v>1</v>
      </c>
      <c r="F19" s="3" t="b">
        <v>0</v>
      </c>
      <c r="G19" s="4" t="s">
        <v>0</v>
      </c>
      <c r="H19" s="4" t="s">
        <v>0</v>
      </c>
      <c r="I19" s="4" t="s">
        <v>0</v>
      </c>
      <c r="J19" s="1">
        <f t="shared" si="0"/>
        <v>2100</v>
      </c>
      <c r="K19" s="4" t="s">
        <v>0</v>
      </c>
      <c r="L19" s="11">
        <f>+E4</f>
        <v>500</v>
      </c>
      <c r="M19" s="11" t="s">
        <v>16</v>
      </c>
    </row>
    <row r="20" spans="1:13" x14ac:dyDescent="0.2">
      <c r="A20" s="5" t="s">
        <v>9</v>
      </c>
      <c r="B20" s="15" t="b">
        <v>1</v>
      </c>
      <c r="C20" s="15" t="b">
        <v>1</v>
      </c>
      <c r="D20" s="15" t="b">
        <v>0</v>
      </c>
      <c r="E20" s="15" t="b">
        <v>1</v>
      </c>
      <c r="F20" s="15" t="b">
        <v>1</v>
      </c>
      <c r="G20" s="17" t="s">
        <v>0</v>
      </c>
      <c r="H20" s="17" t="s">
        <v>0</v>
      </c>
      <c r="I20" s="17" t="s">
        <v>0</v>
      </c>
      <c r="J20" s="17" t="s">
        <v>0</v>
      </c>
      <c r="K20" s="16">
        <f>+K4</f>
        <v>2500</v>
      </c>
      <c r="L20" s="5">
        <f>+B4+C4+E4+F4</f>
        <v>2500</v>
      </c>
      <c r="M20" s="5" t="s">
        <v>6</v>
      </c>
    </row>
    <row r="21" spans="1:13" x14ac:dyDescent="0.2">
      <c r="A21" s="2" t="s">
        <v>9</v>
      </c>
      <c r="B21" s="3" t="b">
        <v>1</v>
      </c>
      <c r="C21" s="3" t="b">
        <v>0</v>
      </c>
      <c r="D21" s="3" t="b">
        <v>0</v>
      </c>
      <c r="E21" s="3" t="b">
        <v>0</v>
      </c>
      <c r="F21" s="3" t="b">
        <v>0</v>
      </c>
      <c r="G21" s="4" t="s">
        <v>0</v>
      </c>
      <c r="H21" s="4" t="s">
        <v>0</v>
      </c>
      <c r="I21" s="4" t="s">
        <v>0</v>
      </c>
      <c r="J21" s="4" t="s">
        <v>0</v>
      </c>
      <c r="K21" s="1">
        <f>+K20</f>
        <v>2500</v>
      </c>
      <c r="L21" s="8">
        <f>+B4</f>
        <v>1400</v>
      </c>
      <c r="M21" s="8" t="s">
        <v>2</v>
      </c>
    </row>
    <row r="22" spans="1:13" x14ac:dyDescent="0.2">
      <c r="A22" s="2" t="s">
        <v>9</v>
      </c>
      <c r="B22" s="3" t="b">
        <v>1</v>
      </c>
      <c r="C22" s="3" t="b">
        <v>1</v>
      </c>
      <c r="D22" s="3" t="b">
        <v>0</v>
      </c>
      <c r="E22" s="3" t="b">
        <v>0</v>
      </c>
      <c r="F22" s="3" t="b">
        <v>0</v>
      </c>
      <c r="G22" s="4" t="s">
        <v>0</v>
      </c>
      <c r="H22" s="4" t="s">
        <v>0</v>
      </c>
      <c r="I22" s="4" t="s">
        <v>0</v>
      </c>
      <c r="J22" s="4" t="s">
        <v>0</v>
      </c>
      <c r="K22" s="1">
        <f t="shared" ref="K22:K34" si="1">+K21</f>
        <v>2500</v>
      </c>
      <c r="L22" s="8">
        <f>+B4+C4</f>
        <v>1600</v>
      </c>
      <c r="M22" s="8" t="s">
        <v>3</v>
      </c>
    </row>
    <row r="23" spans="1:13" x14ac:dyDescent="0.2">
      <c r="A23" s="2" t="s">
        <v>9</v>
      </c>
      <c r="B23" s="3" t="b">
        <v>1</v>
      </c>
      <c r="C23" s="3" t="b">
        <v>1</v>
      </c>
      <c r="D23" s="3" t="b">
        <v>0</v>
      </c>
      <c r="E23" s="3" t="b">
        <v>1</v>
      </c>
      <c r="F23" s="3" t="b">
        <v>0</v>
      </c>
      <c r="G23" s="4" t="s">
        <v>0</v>
      </c>
      <c r="H23" s="4" t="s">
        <v>0</v>
      </c>
      <c r="I23" s="4" t="s">
        <v>0</v>
      </c>
      <c r="J23" s="4" t="s">
        <v>0</v>
      </c>
      <c r="K23" s="1">
        <f t="shared" si="1"/>
        <v>2500</v>
      </c>
      <c r="L23" s="8">
        <f>+B4+C4+E4</f>
        <v>2100</v>
      </c>
      <c r="M23" s="8" t="s">
        <v>8</v>
      </c>
    </row>
    <row r="24" spans="1:13" x14ac:dyDescent="0.2">
      <c r="A24" s="2" t="s">
        <v>9</v>
      </c>
      <c r="B24" s="3" t="b">
        <v>1</v>
      </c>
      <c r="C24" s="3" t="b">
        <v>0</v>
      </c>
      <c r="D24" s="3" t="b">
        <v>1</v>
      </c>
      <c r="E24" s="3" t="b">
        <v>0</v>
      </c>
      <c r="F24" s="3" t="b">
        <v>0</v>
      </c>
      <c r="G24" s="4" t="s">
        <v>0</v>
      </c>
      <c r="H24" s="4" t="s">
        <v>0</v>
      </c>
      <c r="I24" s="4" t="s">
        <v>0</v>
      </c>
      <c r="J24" s="4" t="s">
        <v>0</v>
      </c>
      <c r="K24" s="1">
        <f t="shared" si="1"/>
        <v>2500</v>
      </c>
      <c r="L24" s="8">
        <f>+B4+D4</f>
        <v>1800</v>
      </c>
      <c r="M24" s="8" t="s">
        <v>7</v>
      </c>
    </row>
    <row r="25" spans="1:13" x14ac:dyDescent="0.2">
      <c r="A25" s="2" t="s">
        <v>9</v>
      </c>
      <c r="B25" s="3" t="b">
        <v>0</v>
      </c>
      <c r="C25" s="3" t="b">
        <v>1</v>
      </c>
      <c r="D25" s="3" t="b">
        <v>0</v>
      </c>
      <c r="E25" s="3" t="b">
        <v>0</v>
      </c>
      <c r="F25" s="3" t="b">
        <v>0</v>
      </c>
      <c r="G25" s="4" t="s">
        <v>0</v>
      </c>
      <c r="H25" s="4" t="s">
        <v>0</v>
      </c>
      <c r="I25" s="4" t="s">
        <v>0</v>
      </c>
      <c r="J25" s="4" t="s">
        <v>0</v>
      </c>
      <c r="K25" s="1">
        <f t="shared" si="1"/>
        <v>2500</v>
      </c>
      <c r="L25" s="11">
        <f>+C4</f>
        <v>200</v>
      </c>
      <c r="M25" s="11" t="s">
        <v>14</v>
      </c>
    </row>
    <row r="26" spans="1:13" x14ac:dyDescent="0.2">
      <c r="A26" s="2" t="s">
        <v>9</v>
      </c>
      <c r="B26" s="3" t="b">
        <v>0</v>
      </c>
      <c r="C26" s="3" t="b">
        <v>1</v>
      </c>
      <c r="D26" s="3" t="b">
        <v>0</v>
      </c>
      <c r="E26" s="3" t="b">
        <v>1</v>
      </c>
      <c r="F26" s="3" t="b">
        <v>0</v>
      </c>
      <c r="G26" s="4" t="s">
        <v>0</v>
      </c>
      <c r="H26" s="4" t="s">
        <v>0</v>
      </c>
      <c r="I26" s="4" t="s">
        <v>0</v>
      </c>
      <c r="J26" s="4" t="s">
        <v>0</v>
      </c>
      <c r="K26" s="1">
        <f t="shared" si="1"/>
        <v>2500</v>
      </c>
      <c r="L26" s="11">
        <f>+C4+E4</f>
        <v>700</v>
      </c>
      <c r="M26" s="11" t="s">
        <v>17</v>
      </c>
    </row>
    <row r="27" spans="1:13" x14ac:dyDescent="0.2">
      <c r="A27" s="2" t="s">
        <v>9</v>
      </c>
      <c r="B27" s="3" t="b">
        <v>0</v>
      </c>
      <c r="C27" s="3" t="b">
        <v>0</v>
      </c>
      <c r="D27" s="3" t="b">
        <v>0</v>
      </c>
      <c r="E27" s="3" t="b">
        <v>1</v>
      </c>
      <c r="F27" s="3" t="b">
        <v>0</v>
      </c>
      <c r="G27" s="4" t="s">
        <v>0</v>
      </c>
      <c r="H27" s="4" t="s">
        <v>0</v>
      </c>
      <c r="I27" s="4" t="s">
        <v>0</v>
      </c>
      <c r="J27" s="4" t="s">
        <v>0</v>
      </c>
      <c r="K27" s="1">
        <f t="shared" si="1"/>
        <v>2500</v>
      </c>
      <c r="L27" s="11">
        <f>+E4</f>
        <v>500</v>
      </c>
      <c r="M27" s="11" t="s">
        <v>16</v>
      </c>
    </row>
    <row r="28" spans="1:13" x14ac:dyDescent="0.2">
      <c r="A28" s="2" t="s">
        <v>9</v>
      </c>
      <c r="B28" s="3" t="b">
        <v>0</v>
      </c>
      <c r="C28" s="3" t="b">
        <v>0</v>
      </c>
      <c r="D28" s="3" t="b">
        <v>0</v>
      </c>
      <c r="E28" s="3" t="b">
        <v>0</v>
      </c>
      <c r="F28" s="3" t="b">
        <v>1</v>
      </c>
      <c r="G28" s="4" t="s">
        <v>0</v>
      </c>
      <c r="H28" s="4" t="s">
        <v>0</v>
      </c>
      <c r="I28" s="4" t="s">
        <v>0</v>
      </c>
      <c r="J28" s="4" t="s">
        <v>0</v>
      </c>
      <c r="K28" s="1">
        <f t="shared" si="1"/>
        <v>2500</v>
      </c>
      <c r="L28" s="11">
        <f>+F4</f>
        <v>400</v>
      </c>
      <c r="M28" s="11" t="s">
        <v>1</v>
      </c>
    </row>
    <row r="29" spans="1:13" x14ac:dyDescent="0.2">
      <c r="A29" s="2" t="s">
        <v>9</v>
      </c>
      <c r="B29" s="3" t="b">
        <v>1</v>
      </c>
      <c r="C29" s="3" t="b">
        <v>0</v>
      </c>
      <c r="D29" s="3" t="b">
        <v>0</v>
      </c>
      <c r="E29" s="3" t="b">
        <v>0</v>
      </c>
      <c r="F29" s="3" t="b">
        <v>1</v>
      </c>
      <c r="G29" s="4" t="s">
        <v>0</v>
      </c>
      <c r="H29" s="4" t="s">
        <v>0</v>
      </c>
      <c r="I29" s="4" t="s">
        <v>0</v>
      </c>
      <c r="J29" s="4" t="s">
        <v>0</v>
      </c>
      <c r="K29" s="1">
        <f t="shared" si="1"/>
        <v>2500</v>
      </c>
      <c r="L29" s="11">
        <f>+B4+F4</f>
        <v>1800</v>
      </c>
      <c r="M29" s="11" t="s">
        <v>18</v>
      </c>
    </row>
    <row r="30" spans="1:13" x14ac:dyDescent="0.2">
      <c r="A30" s="2" t="s">
        <v>9</v>
      </c>
      <c r="B30" s="3" t="b">
        <v>1</v>
      </c>
      <c r="C30" s="3" t="b">
        <v>1</v>
      </c>
      <c r="D30" s="3" t="b">
        <v>0</v>
      </c>
      <c r="E30" s="3" t="b">
        <v>0</v>
      </c>
      <c r="F30" s="3" t="b">
        <v>1</v>
      </c>
      <c r="G30" s="4" t="s">
        <v>0</v>
      </c>
      <c r="H30" s="4" t="s">
        <v>0</v>
      </c>
      <c r="I30" s="4" t="s">
        <v>0</v>
      </c>
      <c r="J30" s="4" t="s">
        <v>0</v>
      </c>
      <c r="K30" s="1">
        <f t="shared" si="1"/>
        <v>2500</v>
      </c>
      <c r="L30" s="11">
        <f>+B4+C4+F4</f>
        <v>2000</v>
      </c>
      <c r="M30" s="11" t="s">
        <v>19</v>
      </c>
    </row>
    <row r="31" spans="1:13" x14ac:dyDescent="0.2">
      <c r="A31" s="2" t="s">
        <v>9</v>
      </c>
      <c r="B31" s="3" t="b">
        <v>1</v>
      </c>
      <c r="C31" s="3" t="b">
        <v>0</v>
      </c>
      <c r="D31" s="3" t="b">
        <v>0</v>
      </c>
      <c r="E31" s="3" t="b">
        <v>1</v>
      </c>
      <c r="F31" s="3" t="b">
        <v>1</v>
      </c>
      <c r="G31" s="4" t="s">
        <v>0</v>
      </c>
      <c r="H31" s="4" t="s">
        <v>0</v>
      </c>
      <c r="I31" s="4" t="s">
        <v>0</v>
      </c>
      <c r="J31" s="4" t="s">
        <v>0</v>
      </c>
      <c r="K31" s="1">
        <f t="shared" si="1"/>
        <v>2500</v>
      </c>
      <c r="L31" s="11">
        <f>+B4+E4+F4</f>
        <v>2300</v>
      </c>
      <c r="M31" s="11" t="s">
        <v>20</v>
      </c>
    </row>
    <row r="32" spans="1:13" x14ac:dyDescent="0.2">
      <c r="A32" s="2" t="s">
        <v>9</v>
      </c>
      <c r="B32" s="3" t="b">
        <v>0</v>
      </c>
      <c r="C32" s="3" t="b">
        <v>1</v>
      </c>
      <c r="D32" s="3" t="b">
        <v>0</v>
      </c>
      <c r="E32" s="3" t="b">
        <v>0</v>
      </c>
      <c r="F32" s="3" t="b">
        <v>1</v>
      </c>
      <c r="G32" s="4" t="s">
        <v>0</v>
      </c>
      <c r="H32" s="4" t="s">
        <v>0</v>
      </c>
      <c r="I32" s="4" t="s">
        <v>0</v>
      </c>
      <c r="J32" s="4" t="s">
        <v>0</v>
      </c>
      <c r="K32" s="1">
        <f t="shared" si="1"/>
        <v>2500</v>
      </c>
      <c r="L32" s="11">
        <f>+C4+F4</f>
        <v>600</v>
      </c>
      <c r="M32" s="11" t="s">
        <v>21</v>
      </c>
    </row>
    <row r="33" spans="1:13" x14ac:dyDescent="0.2">
      <c r="A33" s="2" t="s">
        <v>9</v>
      </c>
      <c r="B33" s="3" t="b">
        <v>0</v>
      </c>
      <c r="C33" s="3" t="b">
        <v>1</v>
      </c>
      <c r="D33" s="3" t="b">
        <v>0</v>
      </c>
      <c r="E33" s="3" t="b">
        <v>1</v>
      </c>
      <c r="F33" s="3" t="b">
        <v>1</v>
      </c>
      <c r="G33" s="4" t="s">
        <v>0</v>
      </c>
      <c r="H33" s="4" t="s">
        <v>0</v>
      </c>
      <c r="I33" s="4" t="s">
        <v>0</v>
      </c>
      <c r="J33" s="4" t="s">
        <v>0</v>
      </c>
      <c r="K33" s="1">
        <f t="shared" si="1"/>
        <v>2500</v>
      </c>
      <c r="L33" s="11">
        <f>+C4+E4+F4</f>
        <v>1100</v>
      </c>
      <c r="M33" s="11" t="s">
        <v>22</v>
      </c>
    </row>
    <row r="34" spans="1:13" x14ac:dyDescent="0.2">
      <c r="A34" s="2" t="s">
        <v>9</v>
      </c>
      <c r="B34" s="3" t="b">
        <v>0</v>
      </c>
      <c r="C34" s="3" t="b">
        <v>0</v>
      </c>
      <c r="D34" s="3" t="b">
        <v>0</v>
      </c>
      <c r="E34" s="3" t="b">
        <v>1</v>
      </c>
      <c r="F34" s="3" t="b">
        <v>1</v>
      </c>
      <c r="G34" s="4" t="s">
        <v>0</v>
      </c>
      <c r="H34" s="4" t="s">
        <v>0</v>
      </c>
      <c r="I34" s="4" t="s">
        <v>0</v>
      </c>
      <c r="J34" s="4" t="s">
        <v>0</v>
      </c>
      <c r="K34" s="1">
        <f t="shared" si="1"/>
        <v>2500</v>
      </c>
      <c r="L34" s="11">
        <f>+E4+F4</f>
        <v>900</v>
      </c>
      <c r="M34" s="11" t="s">
        <v>23</v>
      </c>
    </row>
    <row r="35" spans="1:13" x14ac:dyDescent="0.2">
      <c r="A35" s="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10</vt:i4>
      </vt:variant>
    </vt:vector>
  </HeadingPairs>
  <TitlesOfParts>
    <vt:vector size="10" baseType="lpstr">
      <vt:lpstr>COLLECTION PRICE</vt:lpstr>
      <vt:lpstr>STORAGE PRICE</vt:lpstr>
      <vt:lpstr>SK</vt:lpstr>
      <vt:lpstr>CZ</vt:lpstr>
      <vt:lpstr>RO</vt:lpstr>
      <vt:lpstr>HU</vt:lpstr>
      <vt:lpstr>AT</vt:lpstr>
      <vt:lpstr>ITA</vt:lpstr>
      <vt:lpstr>cost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Pavelka Lubos</dc:creator>
  <cp:lastModifiedBy>Peter Seman</cp:lastModifiedBy>
  <dcterms:created xsi:type="dcterms:W3CDTF">2025-03-29T10:48:31Z</dcterms:created>
  <dcterms:modified xsi:type="dcterms:W3CDTF">2026-07-28T07:04:23Z</dcterms:modified>
</cp:coreProperties>
</file>